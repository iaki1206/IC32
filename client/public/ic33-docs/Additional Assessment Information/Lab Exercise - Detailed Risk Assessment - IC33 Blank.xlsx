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3"/>
  <workbookPr/>
  <mc:AlternateContent xmlns:mc="http://schemas.openxmlformats.org/markup-compatibility/2006">
    <mc:Choice Requires="x15">
      <x15ac:absPath xmlns:x15ac="http://schemas.microsoft.com/office/spreadsheetml/2010/11/ac" url="/Users/jverh/Library/Mobile Documents/com~apple~CloudDocs/OTT/Trainingen/20260617-IC33-VILT/IC-33_v4.0_StudentNoteset/Additional Assessment Information/"/>
    </mc:Choice>
  </mc:AlternateContent>
  <xr:revisionPtr revIDLastSave="0" documentId="13_ncr:1_{5F4D4291-AFE2-A34F-97A0-664E8F93846A}" xr6:coauthVersionLast="47" xr6:coauthVersionMax="47" xr10:uidLastSave="{00000000-0000-0000-0000-000000000000}"/>
  <bookViews>
    <workbookView xWindow="39240" yWindow="600" windowWidth="33720" windowHeight="19460" xr2:uid="{00000000-000D-0000-FFFF-FFFF00000000}"/>
  </bookViews>
  <sheets>
    <sheet name="Base Production" sheetId="1" r:id="rId1"/>
    <sheet name="Risk Matrix" sheetId="7" r:id="rId2"/>
    <sheet name="SL-T" sheetId="8" r:id="rId3"/>
    <sheet name="Likelihood Classification" sheetId="10" r:id="rId4"/>
    <sheet name="Lookups" sheetId="6" state="hidden" r:id="rId5"/>
  </sheets>
  <definedNames>
    <definedName name="_xlnm.Print_Area" localSheetId="0">'Base Production'!$C$1:$AF$65</definedName>
    <definedName name="_xlnm.Print_Area" localSheetId="1">'Risk Matrix'!$A$1:$L$10</definedName>
    <definedName name="RiskMatrix">'Risk Matrix'!$H$6:$L$10</definedName>
    <definedName name="SLTS">'SL-T'!$A$3:$B$27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3" i="1" l="1"/>
  <c r="S12" i="1"/>
  <c r="I63" i="1"/>
  <c r="I52" i="1"/>
  <c r="I38" i="1"/>
  <c r="I24" i="1"/>
  <c r="I12" i="1"/>
  <c r="AF63" i="1"/>
  <c r="AD3" i="1"/>
  <c r="AD12" i="1"/>
  <c r="AF12" i="1"/>
  <c r="U3" i="1"/>
  <c r="U12" i="1"/>
  <c r="U63" i="1"/>
  <c r="S63" i="1"/>
  <c r="K24" i="1"/>
  <c r="L24" i="1"/>
  <c r="Y115" i="1"/>
  <c r="Y114" i="1"/>
  <c r="Y113" i="1"/>
  <c r="Y112" i="1"/>
  <c r="Y111" i="1"/>
  <c r="Y110" i="1"/>
  <c r="Y109" i="1"/>
  <c r="Y108" i="1"/>
  <c r="Y107" i="1"/>
  <c r="Y106" i="1"/>
  <c r="Y105" i="1"/>
  <c r="Y104" i="1"/>
  <c r="Y103" i="1"/>
  <c r="Y102" i="1"/>
  <c r="Y101" i="1"/>
  <c r="Y100" i="1"/>
  <c r="Y99" i="1"/>
  <c r="Y98" i="1"/>
  <c r="Y97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AD52" i="1"/>
  <c r="AD63" i="1"/>
  <c r="S52" i="1"/>
  <c r="U52" i="1"/>
  <c r="AD38" i="1"/>
  <c r="AF38" i="1"/>
  <c r="AD24" i="1"/>
  <c r="AF24" i="1"/>
  <c r="S38" i="1"/>
  <c r="U38" i="1"/>
  <c r="S24" i="1"/>
  <c r="U24" i="1"/>
  <c r="I3" i="1"/>
  <c r="K3" i="1"/>
  <c r="L3" i="1"/>
  <c r="K12" i="1"/>
  <c r="L12" i="1"/>
  <c r="K38" i="1"/>
  <c r="L38" i="1"/>
  <c r="AF3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AD134" i="1"/>
  <c r="AF134" i="1"/>
  <c r="AD133" i="1"/>
  <c r="AF133" i="1"/>
  <c r="AD132" i="1"/>
  <c r="AF132" i="1"/>
  <c r="AD131" i="1"/>
  <c r="AF131" i="1"/>
  <c r="AD130" i="1"/>
  <c r="AF130" i="1"/>
  <c r="AD129" i="1"/>
  <c r="AF129" i="1"/>
  <c r="AD128" i="1"/>
  <c r="AF128" i="1"/>
  <c r="AD127" i="1"/>
  <c r="AF127" i="1"/>
  <c r="AD126" i="1"/>
  <c r="AF126" i="1"/>
  <c r="AD125" i="1"/>
  <c r="AF125" i="1"/>
  <c r="AD124" i="1"/>
  <c r="AF124" i="1"/>
  <c r="AD123" i="1"/>
  <c r="AF123" i="1"/>
  <c r="AD122" i="1"/>
  <c r="AF122" i="1"/>
  <c r="AD121" i="1"/>
  <c r="AF121" i="1"/>
  <c r="AD120" i="1"/>
  <c r="AF120" i="1"/>
  <c r="AD119" i="1"/>
  <c r="AF119" i="1"/>
  <c r="AD118" i="1"/>
  <c r="AF118" i="1"/>
  <c r="AD117" i="1"/>
  <c r="AF117" i="1"/>
  <c r="AD116" i="1"/>
  <c r="AF116" i="1"/>
  <c r="AD115" i="1"/>
  <c r="AF115" i="1"/>
  <c r="AD114" i="1"/>
  <c r="AF114" i="1"/>
  <c r="AD113" i="1"/>
  <c r="AF113" i="1"/>
  <c r="AD112" i="1"/>
  <c r="AF112" i="1"/>
  <c r="AD111" i="1"/>
  <c r="AF111" i="1"/>
  <c r="AD110" i="1"/>
  <c r="AF110" i="1"/>
  <c r="AD109" i="1"/>
  <c r="AF109" i="1"/>
  <c r="AD108" i="1"/>
  <c r="AF108" i="1"/>
  <c r="AD107" i="1"/>
  <c r="AF107" i="1"/>
  <c r="AD106" i="1"/>
  <c r="AF106" i="1"/>
  <c r="AD105" i="1"/>
  <c r="AF105" i="1"/>
  <c r="AD104" i="1"/>
  <c r="AF104" i="1"/>
  <c r="AD103" i="1"/>
  <c r="AF103" i="1"/>
  <c r="AD102" i="1"/>
  <c r="AF102" i="1"/>
  <c r="AD101" i="1"/>
  <c r="AF101" i="1"/>
  <c r="AD100" i="1"/>
  <c r="AF100" i="1"/>
  <c r="AD99" i="1"/>
  <c r="AF99" i="1"/>
  <c r="AD98" i="1"/>
  <c r="AF98" i="1"/>
  <c r="AD97" i="1"/>
  <c r="AF97" i="1"/>
  <c r="AD96" i="1"/>
  <c r="AF96" i="1"/>
  <c r="AD95" i="1"/>
  <c r="AF95" i="1"/>
  <c r="AD94" i="1"/>
  <c r="AF94" i="1"/>
  <c r="AD93" i="1"/>
  <c r="AF93" i="1"/>
  <c r="AD92" i="1"/>
  <c r="AF92" i="1"/>
  <c r="AD91" i="1"/>
  <c r="AF91" i="1"/>
  <c r="AD90" i="1"/>
  <c r="AF90" i="1"/>
  <c r="AD89" i="1"/>
  <c r="AF89" i="1"/>
  <c r="AD88" i="1"/>
  <c r="AF88" i="1"/>
  <c r="AD87" i="1"/>
  <c r="AF87" i="1"/>
  <c r="AD86" i="1"/>
  <c r="AF86" i="1"/>
  <c r="AD85" i="1"/>
  <c r="AF85" i="1"/>
  <c r="AD84" i="1"/>
  <c r="AF84" i="1"/>
  <c r="AD83" i="1"/>
  <c r="AF83" i="1"/>
  <c r="I100" i="1"/>
  <c r="U100" i="1"/>
  <c r="I99" i="1"/>
  <c r="U99" i="1"/>
  <c r="I98" i="1"/>
  <c r="K98" i="1"/>
  <c r="L98" i="1"/>
  <c r="I97" i="1"/>
  <c r="K97" i="1"/>
  <c r="L97" i="1"/>
  <c r="I96" i="1"/>
  <c r="U96" i="1"/>
  <c r="I95" i="1"/>
  <c r="K95" i="1"/>
  <c r="L95" i="1"/>
  <c r="I94" i="1"/>
  <c r="K94" i="1"/>
  <c r="L94" i="1"/>
  <c r="I93" i="1"/>
  <c r="U93" i="1"/>
  <c r="I92" i="1"/>
  <c r="K92" i="1"/>
  <c r="L92" i="1"/>
  <c r="I91" i="1"/>
  <c r="K91" i="1"/>
  <c r="L91" i="1"/>
  <c r="I90" i="1"/>
  <c r="K90" i="1"/>
  <c r="L90" i="1"/>
  <c r="I89" i="1"/>
  <c r="U89" i="1"/>
  <c r="I88" i="1"/>
  <c r="U88" i="1"/>
  <c r="I87" i="1"/>
  <c r="U87" i="1"/>
  <c r="I86" i="1"/>
  <c r="K86" i="1"/>
  <c r="L86" i="1"/>
  <c r="I85" i="1"/>
  <c r="U85" i="1"/>
  <c r="I84" i="1"/>
  <c r="K84" i="1"/>
  <c r="L84" i="1"/>
  <c r="I83" i="1"/>
  <c r="U83" i="1"/>
  <c r="AF52" i="1"/>
  <c r="I134" i="1"/>
  <c r="U134" i="1"/>
  <c r="I133" i="1"/>
  <c r="U133" i="1"/>
  <c r="I132" i="1"/>
  <c r="K132" i="1"/>
  <c r="L132" i="1"/>
  <c r="I131" i="1"/>
  <c r="K131" i="1"/>
  <c r="L131" i="1"/>
  <c r="I130" i="1"/>
  <c r="K130" i="1"/>
  <c r="L130" i="1"/>
  <c r="I129" i="1"/>
  <c r="K129" i="1"/>
  <c r="L129" i="1"/>
  <c r="I128" i="1"/>
  <c r="U128" i="1"/>
  <c r="I127" i="1"/>
  <c r="K127" i="1"/>
  <c r="L127" i="1"/>
  <c r="I126" i="1"/>
  <c r="U126" i="1"/>
  <c r="I125" i="1"/>
  <c r="U125" i="1"/>
  <c r="I124" i="1"/>
  <c r="U124" i="1"/>
  <c r="I123" i="1"/>
  <c r="K123" i="1"/>
  <c r="L123" i="1"/>
  <c r="I122" i="1"/>
  <c r="U122" i="1"/>
  <c r="I121" i="1"/>
  <c r="U121" i="1"/>
  <c r="I120" i="1"/>
  <c r="K120" i="1"/>
  <c r="L120" i="1"/>
  <c r="I119" i="1"/>
  <c r="U119" i="1"/>
  <c r="I118" i="1"/>
  <c r="K118" i="1"/>
  <c r="L118" i="1"/>
  <c r="I117" i="1"/>
  <c r="K117" i="1"/>
  <c r="L117" i="1"/>
  <c r="I116" i="1"/>
  <c r="K116" i="1"/>
  <c r="L116" i="1"/>
  <c r="I115" i="1"/>
  <c r="K115" i="1"/>
  <c r="L115" i="1"/>
  <c r="I114" i="1"/>
  <c r="K114" i="1"/>
  <c r="L114" i="1"/>
  <c r="I113" i="1"/>
  <c r="U113" i="1"/>
  <c r="I112" i="1"/>
  <c r="U112" i="1"/>
  <c r="I111" i="1"/>
  <c r="K111" i="1"/>
  <c r="L111" i="1"/>
  <c r="I110" i="1"/>
  <c r="U110" i="1"/>
  <c r="I109" i="1"/>
  <c r="U109" i="1"/>
  <c r="I108" i="1"/>
  <c r="K108" i="1"/>
  <c r="L108" i="1"/>
  <c r="I107" i="1"/>
  <c r="K107" i="1"/>
  <c r="L107" i="1"/>
  <c r="I106" i="1"/>
  <c r="U106" i="1"/>
  <c r="I105" i="1"/>
  <c r="U105" i="1"/>
  <c r="I104" i="1"/>
  <c r="U104" i="1"/>
  <c r="I103" i="1"/>
  <c r="K103" i="1"/>
  <c r="L103" i="1"/>
  <c r="I102" i="1"/>
  <c r="U102" i="1"/>
  <c r="I101" i="1"/>
  <c r="U101" i="1"/>
  <c r="K63" i="1"/>
  <c r="L63" i="1"/>
  <c r="L3" i="10"/>
  <c r="L4" i="10"/>
  <c r="L5" i="10"/>
  <c r="L6" i="10"/>
  <c r="L7" i="10"/>
  <c r="L8" i="10"/>
  <c r="L9" i="10"/>
  <c r="L10" i="10"/>
  <c r="L11" i="10"/>
  <c r="L12" i="10"/>
  <c r="M4" i="10"/>
  <c r="M5" i="10"/>
  <c r="M6" i="10"/>
  <c r="M7" i="10"/>
  <c r="M8" i="10"/>
  <c r="M9" i="10"/>
  <c r="M10" i="10"/>
  <c r="M11" i="10"/>
  <c r="M12" i="10"/>
  <c r="M3" i="10"/>
  <c r="U84" i="1"/>
  <c r="K106" i="1"/>
  <c r="L106" i="1"/>
  <c r="K105" i="1"/>
  <c r="L105" i="1"/>
  <c r="U130" i="1"/>
  <c r="K126" i="1"/>
  <c r="L126" i="1"/>
  <c r="U132" i="1"/>
  <c r="U92" i="1"/>
  <c r="K133" i="1"/>
  <c r="L133" i="1"/>
  <c r="K100" i="1"/>
  <c r="L100" i="1"/>
  <c r="K128" i="1"/>
  <c r="L128" i="1"/>
  <c r="U91" i="1"/>
  <c r="K109" i="1"/>
  <c r="L109" i="1"/>
  <c r="K87" i="1"/>
  <c r="L87" i="1"/>
  <c r="L13" i="10"/>
  <c r="J14" i="10"/>
  <c r="I14" i="10"/>
  <c r="U127" i="1"/>
  <c r="U120" i="1"/>
  <c r="K101" i="1"/>
  <c r="L101" i="1"/>
  <c r="U108" i="1"/>
  <c r="K121" i="1"/>
  <c r="L121" i="1"/>
  <c r="U90" i="1"/>
  <c r="K89" i="1"/>
  <c r="L89" i="1"/>
  <c r="U114" i="1"/>
  <c r="K93" i="1"/>
  <c r="L93" i="1"/>
  <c r="U94" i="1"/>
  <c r="K113" i="1"/>
  <c r="L113" i="1"/>
  <c r="U107" i="1"/>
  <c r="U115" i="1"/>
  <c r="K88" i="1"/>
  <c r="L88" i="1"/>
  <c r="K52" i="1"/>
  <c r="L52" i="1"/>
  <c r="M3" i="1"/>
  <c r="K112" i="1"/>
  <c r="L112" i="1"/>
  <c r="U118" i="1"/>
  <c r="K119" i="1"/>
  <c r="L119" i="1"/>
  <c r="K122" i="1"/>
  <c r="L122" i="1"/>
  <c r="U123" i="1"/>
  <c r="K102" i="1"/>
  <c r="L102" i="1"/>
  <c r="K110" i="1"/>
  <c r="L110" i="1"/>
  <c r="K104" i="1"/>
  <c r="L104" i="1"/>
  <c r="K96" i="1"/>
  <c r="L96" i="1"/>
  <c r="U129" i="1"/>
  <c r="U97" i="1"/>
  <c r="K85" i="1"/>
  <c r="L85" i="1"/>
  <c r="U116" i="1"/>
  <c r="K83" i="1"/>
  <c r="L83" i="1"/>
  <c r="K134" i="1"/>
  <c r="L134" i="1"/>
  <c r="U103" i="1"/>
  <c r="K99" i="1"/>
  <c r="L99" i="1"/>
  <c r="U131" i="1"/>
  <c r="K124" i="1"/>
  <c r="L124" i="1"/>
  <c r="U86" i="1"/>
  <c r="K125" i="1"/>
  <c r="L125" i="1"/>
  <c r="U117" i="1"/>
  <c r="U111" i="1"/>
  <c r="U95" i="1"/>
  <c r="U98" i="1"/>
</calcChain>
</file>

<file path=xl/sharedStrings.xml><?xml version="1.0" encoding="utf-8"?>
<sst xmlns="http://schemas.openxmlformats.org/spreadsheetml/2006/main" count="232" uniqueCount="162">
  <si>
    <t>Max</t>
  </si>
  <si>
    <t>Likelihood</t>
  </si>
  <si>
    <t>MTL</t>
  </si>
  <si>
    <t>Risk</t>
  </si>
  <si>
    <t>UTL</t>
  </si>
  <si>
    <t>Recommendations</t>
  </si>
  <si>
    <t>Safety</t>
  </si>
  <si>
    <t>Environment</t>
  </si>
  <si>
    <t>Financial</t>
  </si>
  <si>
    <t>S</t>
  </si>
  <si>
    <t>E</t>
  </si>
  <si>
    <t>F</t>
  </si>
  <si>
    <t>R</t>
  </si>
  <si>
    <t>Impact</t>
  </si>
  <si>
    <t>g</t>
  </si>
  <si>
    <t>Chance</t>
  </si>
  <si>
    <t>Virtually improbable and unrealistic</t>
  </si>
  <si>
    <t>Conceivably possible, but very unlikely to occur</t>
  </si>
  <si>
    <t>Unusual but possible</t>
  </si>
  <si>
    <t>Quite possible or not unusual</t>
  </si>
  <si>
    <t>Likely to occur</t>
  </si>
  <si>
    <t>Frequency</t>
  </si>
  <si>
    <t>Event expected to occur more than once per year</t>
  </si>
  <si>
    <t>Reputation</t>
  </si>
  <si>
    <t xml:space="preserve">No harm or slight client concern </t>
  </si>
  <si>
    <t>Minor harm to the Company's public reputation; or client concern</t>
  </si>
  <si>
    <t>Trivial</t>
  </si>
  <si>
    <t>Minor</t>
  </si>
  <si>
    <t>Moderate</t>
  </si>
  <si>
    <t>Major</t>
  </si>
  <si>
    <t>Critical</t>
  </si>
  <si>
    <t>Improbable</t>
  </si>
  <si>
    <t>Rare</t>
  </si>
  <si>
    <t>Unlikely</t>
  </si>
  <si>
    <t>Possible</t>
  </si>
  <si>
    <t>Likely</t>
  </si>
  <si>
    <t>RISK</t>
  </si>
  <si>
    <t>SL-T</t>
  </si>
  <si>
    <t>Countermeasures
already in place</t>
  </si>
  <si>
    <t>Mit. Risk</t>
  </si>
  <si>
    <t>Slight effect, injury without absence through illness</t>
  </si>
  <si>
    <t>None to low enviromental impact</t>
  </si>
  <si>
    <t xml:space="preserve">Potential equipment or asset damage or financial loss &lt; $10K </t>
  </si>
  <si>
    <t>Important, injury with absence</t>
  </si>
  <si>
    <t>Potential equipment or asset damage or financial loss $10K to $50K</t>
  </si>
  <si>
    <t>Severe, lasting injury with absence</t>
  </si>
  <si>
    <t>Potential equipment or asset damage or financial loss $50K to $100K</t>
  </si>
  <si>
    <t>Harm to the Company's local reputation; multiple client complaints</t>
  </si>
  <si>
    <t>Very severe, a fatal casualty</t>
  </si>
  <si>
    <t>Potential equipment or asset damage or financial loss $100K to $500K</t>
  </si>
  <si>
    <t>Disaster, multiple fatal casualties</t>
  </si>
  <si>
    <t>Potential equipment or asset damage or financial loss &gt;$500K</t>
  </si>
  <si>
    <t>Harm to the Company's international reputation; loss of multiple clients</t>
  </si>
  <si>
    <t>Event could occur at some time longer then 10 years</t>
  </si>
  <si>
    <t>Event could occur at some time within 5 to 10 years</t>
  </si>
  <si>
    <t>Has occurred or is expected to occur within 1 to 2 years</t>
  </si>
  <si>
    <t xml:space="preserve">Temporary enviromental impact on site; non-toxic odor; </t>
  </si>
  <si>
    <t>Minor enviromental impact on site; cleanup needed</t>
  </si>
  <si>
    <t>Harm to the Company's regional reputation; loss of client orders; claims from clients</t>
  </si>
  <si>
    <t>Major enviromental impact on site; spills to the environment;</t>
  </si>
  <si>
    <t xml:space="preserve">Disaster, major enviromental impact in the area; </t>
  </si>
  <si>
    <t>Question</t>
  </si>
  <si>
    <t>Vulnerability default present</t>
  </si>
  <si>
    <t>No</t>
  </si>
  <si>
    <t>Not sure/Yes</t>
  </si>
  <si>
    <t>Is code available to exploit</t>
  </si>
  <si>
    <t>None</t>
  </si>
  <si>
    <t>Concept</t>
  </si>
  <si>
    <t>Yes</t>
  </si>
  <si>
    <t>Are technical details available</t>
  </si>
  <si>
    <t>Some</t>
  </si>
  <si>
    <t>Complete</t>
  </si>
  <si>
    <t>Required access</t>
  </si>
  <si>
    <t>Physical</t>
  </si>
  <si>
    <t>LAN</t>
  </si>
  <si>
    <t>Needed credentials</t>
  </si>
  <si>
    <t xml:space="preserve">Admin </t>
  </si>
  <si>
    <t xml:space="preserve">User </t>
  </si>
  <si>
    <t>Complexity to exploit</t>
  </si>
  <si>
    <t xml:space="preserve">Complex </t>
  </si>
  <si>
    <t>Average</t>
  </si>
  <si>
    <t>Simple</t>
  </si>
  <si>
    <t>User interaction required</t>
  </si>
  <si>
    <t>Is vulnerability being exploited</t>
  </si>
  <si>
    <t>Limited</t>
  </si>
  <si>
    <t>Common</t>
  </si>
  <si>
    <t>Is an exploit expected</t>
  </si>
  <si>
    <t>Patch available</t>
  </si>
  <si>
    <t>&gt; 2 months</t>
  </si>
  <si>
    <t>&lt;= 2 months</t>
  </si>
  <si>
    <t>Option 1</t>
  </si>
  <si>
    <t>Option 2</t>
  </si>
  <si>
    <t>Option 3</t>
  </si>
  <si>
    <t>Weight</t>
  </si>
  <si>
    <t xml:space="preserve">Internet </t>
  </si>
  <si>
    <t>This is based on the “inschalingsmatrix” (Dutch for “classification matrix”) from the Dutch National Cyber Security Institute: https://www.ncsc.nl</t>
  </si>
  <si>
    <t>Likelihood "Improbable" is never an outcome. 
It is used for theoretical vulnerabilities.</t>
  </si>
  <si>
    <t>Has occurred or is expected to occur within 2 to 5 years</t>
  </si>
  <si>
    <t>Tolerable Risk = 6</t>
  </si>
  <si>
    <t>Zone</t>
  </si>
  <si>
    <t>BPCS Zone</t>
  </si>
  <si>
    <t>Paint Factory</t>
  </si>
  <si>
    <t>SL-T Zone</t>
  </si>
  <si>
    <t>Threat (ZCR 5.1)</t>
  </si>
  <si>
    <t>Vulnerability (ZCR 5.2)</t>
  </si>
  <si>
    <t>Consequence Description (ZCR 5.3)</t>
  </si>
  <si>
    <t>Impact (ZCR 5.3)</t>
  </si>
  <si>
    <t>(ZCR 5.4)</t>
  </si>
  <si>
    <t>(ZCR 5.5)</t>
  </si>
  <si>
    <t>(ZCR 5.6)</t>
  </si>
  <si>
    <t>(ZCR 5.8)</t>
  </si>
  <si>
    <t>Impact (ZCR 5.9)</t>
  </si>
  <si>
    <t>(ZCR 5.9)</t>
  </si>
  <si>
    <t>(ZCR 5.10)</t>
  </si>
  <si>
    <t>(ZCR 5.12)</t>
  </si>
  <si>
    <t>MTLa</t>
  </si>
  <si>
    <t>Cost</t>
  </si>
  <si>
    <t>Time / Complexity</t>
  </si>
  <si>
    <t>Total</t>
  </si>
  <si>
    <t>(Infected USB EWS) APTgoup infects system with ransomware affecting core assets causes prolonged operational downtime.</t>
  </si>
  <si>
    <t>Lack of networksegmentation between the PCN and external untrusted network (Modem)</t>
  </si>
  <si>
    <t>Use of unpatchable legacy systems (obsolesence mode)</t>
  </si>
  <si>
    <t>Use of unsecure protocols</t>
  </si>
  <si>
    <t>Lack of internal network segmentation between levels and between zones</t>
  </si>
  <si>
    <t>There is no adequate obsolescence management system.</t>
  </si>
  <si>
    <t>Credentials shared between operators</t>
  </si>
  <si>
    <t>Lack of awareness and training</t>
  </si>
  <si>
    <t>Lack of decent access control</t>
  </si>
  <si>
    <t>Use of dual homed systems</t>
  </si>
  <si>
    <t>Lack of documented network information</t>
  </si>
  <si>
    <t>Lack of dataprotection on configuartion setpoints</t>
  </si>
  <si>
    <t>Lack of secure progamming mechanisms, policies and procedures</t>
  </si>
  <si>
    <t>Unpached vulnerabilties on network assets</t>
  </si>
  <si>
    <t>Improper and ineffective installed IDS</t>
  </si>
  <si>
    <t>No confidence that the firewall is configured properly</t>
  </si>
  <si>
    <t>No confidence that the VPN-service is configured properly</t>
  </si>
  <si>
    <t>Lack of evidence on vetting practices (no background checks)</t>
  </si>
  <si>
    <t>APT Group with temporarely acces trough a pc in the enterprise causes a spill because of overfilling as result of mannupilation of the controll system</t>
  </si>
  <si>
    <t>No confidence of incident and response procedures</t>
  </si>
  <si>
    <t>This can lead to an explosion.</t>
  </si>
  <si>
    <t>A dissgrunteled authorized employee, influenced employee manipulates the control system and extends the mixing time, causing the chemicals to evaporate into the atmosphere and create a flammable atmosphere that can be ignited by an ignition source.
E.g., a high engine temperature</t>
  </si>
  <si>
    <t>Spill of 5000 liters of chemicals</t>
  </si>
  <si>
    <t>x</t>
  </si>
  <si>
    <t>(Misconfigured / unconfigured) Firewall and DMZ</t>
  </si>
  <si>
    <t>(Misconfigured / unconfigured) IDS</t>
  </si>
  <si>
    <t>Access Control Procedure</t>
  </si>
  <si>
    <t>Update server</t>
  </si>
  <si>
    <t>Implement networksegmentation between the PCN and external untrusted network (Modem)</t>
  </si>
  <si>
    <t>Segeregated Gas detection system (Mitigated SIS)</t>
  </si>
  <si>
    <t>Upgrade legacy and obsolete systems</t>
  </si>
  <si>
    <t>Replace insecure protocols with secure protocols</t>
  </si>
  <si>
    <t>Implement internal network segmentation between levels and between zones</t>
  </si>
  <si>
    <t>Policies, procedures and implementation of a system for managing obsolete products.</t>
  </si>
  <si>
    <t>A correct identification and authentication check has been performed in accordance with 62443.</t>
  </si>
  <si>
    <t>A correct awareness and training program has been implemented and activated in accordance with the 62443 requirement.</t>
  </si>
  <si>
    <t>Replace dual homed systems</t>
  </si>
  <si>
    <t>Proper VPN-services configured and implemented</t>
  </si>
  <si>
    <t>Implementation of effective data protection controls according to 62443 controls and requirements (62443-3-3)</t>
  </si>
  <si>
    <t>Implement proper procedures for secure progamming mechanisms</t>
  </si>
  <si>
    <t>Backup and restore policies and procedures according the requirements of 62443-2-1 Backup and restore SPE's</t>
  </si>
  <si>
    <t>Implement a professional and IDS and SIEM solution</t>
  </si>
  <si>
    <t>APT Groups manipulates the control system by gaining access via the supplier's modem, thereby extending the mixing time. As a result, the chemicals evaporate into the atmosphere, creating a flammable atmosphere that can ignite from an ignition source (for example, a hot engine).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</si>
</sst>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;;@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Wingdings 3"/>
      <family val="1"/>
      <charset val="2"/>
    </font>
    <font>
      <sz val="14"/>
      <color theme="1"/>
      <name val="Arial Black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6"/>
      <color theme="1"/>
      <name val="Wingdings 3"/>
      <family val="1"/>
      <charset val="2"/>
    </font>
    <font>
      <b/>
      <sz val="11"/>
      <color theme="0"/>
      <name val="Calibri"/>
      <family val="2"/>
      <scheme val="minor"/>
    </font>
    <font>
      <sz val="26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4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1" fillId="0" borderId="0" xfId="0" applyFont="1"/>
    <xf numFmtId="0" fontId="1" fillId="4" borderId="1" xfId="0" applyFont="1" applyFill="1" applyBorder="1" applyAlignment="1">
      <alignment horizontal="center" wrapText="1"/>
    </xf>
    <xf numFmtId="0" fontId="7" fillId="4" borderId="2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vertical="center" wrapText="1"/>
    </xf>
    <xf numFmtId="0" fontId="0" fillId="9" borderId="1" xfId="0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 vertical="center"/>
    </xf>
    <xf numFmtId="164" fontId="0" fillId="0" borderId="0" xfId="0" applyNumberFormat="1"/>
    <xf numFmtId="164" fontId="1" fillId="3" borderId="1" xfId="0" applyNumberFormat="1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wrapText="1"/>
    </xf>
    <xf numFmtId="164" fontId="0" fillId="0" borderId="1" xfId="0" applyNumberFormat="1" applyBorder="1"/>
    <xf numFmtId="164" fontId="0" fillId="0" borderId="0" xfId="0" applyNumberFormat="1" applyAlignment="1">
      <alignment vertical="center"/>
    </xf>
    <xf numFmtId="164" fontId="0" fillId="0" borderId="0" xfId="0" applyNumberFormat="1" applyAlignment="1">
      <alignment wrapText="1"/>
    </xf>
    <xf numFmtId="164" fontId="0" fillId="0" borderId="0" xfId="0" applyNumberFormat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8" fillId="16" borderId="1" xfId="0" applyFont="1" applyFill="1" applyBorder="1"/>
    <xf numFmtId="0" fontId="0" fillId="13" borderId="8" xfId="0" applyFill="1" applyBorder="1"/>
    <xf numFmtId="0" fontId="0" fillId="0" borderId="5" xfId="0" applyBorder="1"/>
    <xf numFmtId="0" fontId="0" fillId="13" borderId="9" xfId="0" applyFill="1" applyBorder="1"/>
    <xf numFmtId="0" fontId="0" fillId="13" borderId="5" xfId="0" applyFill="1" applyBorder="1"/>
    <xf numFmtId="0" fontId="0" fillId="13" borderId="6" xfId="0" applyFill="1" applyBorder="1"/>
    <xf numFmtId="0" fontId="0" fillId="14" borderId="9" xfId="0" applyFill="1" applyBorder="1"/>
    <xf numFmtId="0" fontId="0" fillId="14" borderId="6" xfId="0" applyFill="1" applyBorder="1"/>
    <xf numFmtId="0" fontId="0" fillId="13" borderId="5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0" fillId="15" borderId="9" xfId="0" applyFill="1" applyBorder="1"/>
    <xf numFmtId="0" fontId="0" fillId="15" borderId="6" xfId="0" applyFill="1" applyBorder="1"/>
    <xf numFmtId="0" fontId="0" fillId="15" borderId="0" xfId="0" applyFill="1"/>
    <xf numFmtId="0" fontId="8" fillId="16" borderId="2" xfId="0" applyFont="1" applyFill="1" applyBorder="1"/>
    <xf numFmtId="0" fontId="9" fillId="0" borderId="0" xfId="0" applyFont="1" applyAlignment="1">
      <alignment horizontal="center"/>
    </xf>
    <xf numFmtId="0" fontId="10" fillId="0" borderId="10" xfId="0" applyFont="1" applyBorder="1" applyAlignment="1">
      <alignment horizontal="center" vertical="center"/>
    </xf>
    <xf numFmtId="164" fontId="1" fillId="3" borderId="5" xfId="0" applyNumberFormat="1" applyFont="1" applyFill="1" applyBorder="1" applyAlignment="1">
      <alignment horizontal="center" vertical="center"/>
    </xf>
    <xf numFmtId="164" fontId="1" fillId="3" borderId="4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left" vertical="center" wrapText="1"/>
    </xf>
    <xf numFmtId="164" fontId="0" fillId="0" borderId="0" xfId="0" applyNumberFormat="1" applyAlignment="1">
      <alignment horizontal="left"/>
    </xf>
    <xf numFmtId="0" fontId="0" fillId="2" borderId="1" xfId="0" applyFill="1" applyBorder="1" applyAlignment="1">
      <alignment horizontal="center"/>
    </xf>
    <xf numFmtId="164" fontId="0" fillId="13" borderId="1" xfId="0" applyNumberFormat="1" applyFill="1" applyBorder="1" applyAlignment="1">
      <alignment horizontal="center" vertical="center"/>
    </xf>
    <xf numFmtId="164" fontId="0" fillId="14" borderId="1" xfId="0" applyNumberFormat="1" applyFill="1" applyBorder="1" applyAlignment="1">
      <alignment horizontal="center" vertical="center"/>
    </xf>
    <xf numFmtId="164" fontId="0" fillId="11" borderId="1" xfId="0" applyNumberFormat="1" applyFill="1" applyBorder="1" applyAlignment="1">
      <alignment horizontal="center" vertical="center"/>
    </xf>
    <xf numFmtId="164" fontId="0" fillId="15" borderId="1" xfId="0" applyNumberFormat="1" applyFill="1" applyBorder="1" applyAlignment="1">
      <alignment horizontal="center" vertical="center"/>
    </xf>
    <xf numFmtId="164" fontId="1" fillId="3" borderId="4" xfId="0" applyNumberFormat="1" applyFont="1" applyFill="1" applyBorder="1" applyAlignment="1">
      <alignment horizontal="left" vertical="center"/>
    </xf>
    <xf numFmtId="164" fontId="0" fillId="17" borderId="1" xfId="0" applyNumberFormat="1" applyFill="1" applyBorder="1" applyAlignment="1">
      <alignment horizontal="left" vertical="center" wrapText="1"/>
    </xf>
    <xf numFmtId="164" fontId="0" fillId="17" borderId="1" xfId="0" applyNumberFormat="1" applyFill="1" applyBorder="1" applyAlignment="1">
      <alignment horizontal="center" vertical="center"/>
    </xf>
    <xf numFmtId="164" fontId="0" fillId="17" borderId="1" xfId="0" applyNumberFormat="1" applyFill="1" applyBorder="1" applyAlignment="1">
      <alignment horizontal="center" vertical="center" wrapText="1"/>
    </xf>
    <xf numFmtId="164" fontId="0" fillId="13" borderId="1" xfId="0" applyNumberFormat="1" applyFill="1" applyBorder="1" applyAlignment="1">
      <alignment vertical="top" wrapText="1"/>
    </xf>
    <xf numFmtId="164" fontId="0" fillId="14" borderId="1" xfId="0" applyNumberFormat="1" applyFill="1" applyBorder="1" applyAlignment="1">
      <alignment vertical="top" wrapText="1"/>
    </xf>
    <xf numFmtId="164" fontId="0" fillId="17" borderId="0" xfId="0" applyNumberFormat="1" applyFill="1" applyAlignment="1">
      <alignment horizontal="left"/>
    </xf>
    <xf numFmtId="164" fontId="0" fillId="18" borderId="1" xfId="0" applyNumberFormat="1" applyFill="1" applyBorder="1" applyAlignment="1">
      <alignment horizontal="center" vertical="center"/>
    </xf>
    <xf numFmtId="164" fontId="0" fillId="12" borderId="2" xfId="0" applyNumberFormat="1" applyFill="1" applyBorder="1" applyAlignment="1">
      <alignment horizontal="left" vertical="center" wrapText="1"/>
    </xf>
    <xf numFmtId="0" fontId="0" fillId="12" borderId="3" xfId="0" applyFill="1" applyBorder="1" applyAlignment="1">
      <alignment horizontal="left" vertical="center" wrapText="1"/>
    </xf>
    <xf numFmtId="0" fontId="0" fillId="12" borderId="4" xfId="0" applyFill="1" applyBorder="1" applyAlignment="1">
      <alignment horizontal="left" vertical="center" wrapText="1"/>
    </xf>
    <xf numFmtId="164" fontId="0" fillId="11" borderId="1" xfId="0" applyNumberFormat="1" applyFill="1" applyBorder="1" applyAlignment="1">
      <alignment vertical="center"/>
    </xf>
    <xf numFmtId="164" fontId="0" fillId="15" borderId="1" xfId="0" applyNumberFormat="1" applyFill="1" applyBorder="1" applyAlignment="1">
      <alignment horizontal="left" vertical="center"/>
    </xf>
    <xf numFmtId="164" fontId="0" fillId="18" borderId="1" xfId="0" applyNumberFormat="1" applyFill="1" applyBorder="1" applyAlignment="1">
      <alignment horizontal="left" vertical="center"/>
    </xf>
    <xf numFmtId="164" fontId="14" fillId="3" borderId="1" xfId="0" applyNumberFormat="1" applyFont="1" applyFill="1" applyBorder="1" applyAlignment="1">
      <alignment horizontal="center" vertical="center" wrapText="1"/>
    </xf>
    <xf numFmtId="164" fontId="14" fillId="3" borderId="1" xfId="0" applyNumberFormat="1" applyFont="1" applyFill="1" applyBorder="1" applyAlignment="1" applyProtection="1">
      <alignment horizontal="center" vertical="center" wrapText="1"/>
      <protection locked="0"/>
    </xf>
    <xf numFmtId="164" fontId="1" fillId="3" borderId="1" xfId="0" applyNumberFormat="1" applyFont="1" applyFill="1" applyBorder="1" applyAlignment="1" applyProtection="1">
      <alignment horizontal="center" wrapText="1"/>
      <protection locked="0"/>
    </xf>
    <xf numFmtId="164" fontId="0" fillId="0" borderId="1" xfId="0" applyNumberFormat="1" applyBorder="1" applyAlignment="1" applyProtection="1">
      <alignment horizontal="center" wrapText="1"/>
      <protection locked="0"/>
    </xf>
    <xf numFmtId="164" fontId="0" fillId="0" borderId="0" xfId="0" applyNumberFormat="1" applyAlignment="1" applyProtection="1">
      <alignment horizontal="center"/>
      <protection locked="0"/>
    </xf>
    <xf numFmtId="164" fontId="0" fillId="0" borderId="0" xfId="0" applyNumberFormat="1" applyAlignment="1" applyProtection="1">
      <alignment horizontal="center" wrapText="1"/>
      <protection locked="0"/>
    </xf>
    <xf numFmtId="164" fontId="1" fillId="3" borderId="2" xfId="0" applyNumberFormat="1" applyFont="1" applyFill="1" applyBorder="1" applyAlignment="1">
      <alignment horizontal="center"/>
    </xf>
    <xf numFmtId="164" fontId="0" fillId="3" borderId="2" xfId="0" applyNumberFormat="1" applyFill="1" applyBorder="1" applyAlignment="1">
      <alignment horizontal="center" vertical="center"/>
    </xf>
    <xf numFmtId="164" fontId="0" fillId="3" borderId="2" xfId="0" applyNumberFormat="1" applyFill="1" applyBorder="1" applyAlignment="1">
      <alignment horizontal="center"/>
    </xf>
    <xf numFmtId="164" fontId="1" fillId="3" borderId="7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 wrapText="1"/>
    </xf>
    <xf numFmtId="164" fontId="0" fillId="0" borderId="0" xfId="0" applyNumberFormat="1" applyAlignment="1">
      <alignment horizontal="center"/>
    </xf>
    <xf numFmtId="0" fontId="0" fillId="12" borderId="1" xfId="0" applyFill="1" applyBorder="1" applyAlignment="1">
      <alignment horizontal="left" vertical="center" wrapText="1"/>
    </xf>
    <xf numFmtId="164" fontId="0" fillId="13" borderId="1" xfId="0" applyNumberFormat="1" applyFill="1" applyBorder="1" applyAlignment="1">
      <alignment horizontal="left" vertical="center" wrapText="1"/>
    </xf>
    <xf numFmtId="164" fontId="0" fillId="19" borderId="1" xfId="0" applyNumberFormat="1" applyFill="1" applyBorder="1" applyAlignment="1">
      <alignment horizontal="left" vertical="center" wrapText="1"/>
    </xf>
    <xf numFmtId="164" fontId="0" fillId="19" borderId="0" xfId="0" applyNumberFormat="1" applyFill="1" applyAlignment="1">
      <alignment horizontal="left"/>
    </xf>
    <xf numFmtId="164" fontId="0" fillId="11" borderId="1" xfId="0" applyNumberFormat="1" applyFill="1" applyBorder="1" applyAlignment="1">
      <alignment horizontal="left" vertical="center" wrapText="1"/>
    </xf>
    <xf numFmtId="164" fontId="0" fillId="11" borderId="1" xfId="0" applyNumberFormat="1" applyFill="1" applyBorder="1" applyAlignment="1">
      <alignment vertical="top" wrapText="1"/>
    </xf>
    <xf numFmtId="164" fontId="0" fillId="19" borderId="1" xfId="0" applyNumberFormat="1" applyFill="1" applyBorder="1" applyAlignment="1">
      <alignment vertical="top" wrapText="1"/>
    </xf>
    <xf numFmtId="164" fontId="0" fillId="19" borderId="0" xfId="0" applyNumberFormat="1" applyFill="1"/>
    <xf numFmtId="164" fontId="0" fillId="11" borderId="0" xfId="0" applyNumberFormat="1" applyFill="1"/>
    <xf numFmtId="164" fontId="1" fillId="13" borderId="1" xfId="0" applyNumberFormat="1" applyFont="1" applyFill="1" applyBorder="1" applyAlignment="1">
      <alignment wrapText="1"/>
    </xf>
    <xf numFmtId="164" fontId="1" fillId="13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0" fillId="0" borderId="2" xfId="0" applyNumberForma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164" fontId="1" fillId="3" borderId="2" xfId="0" applyNumberFormat="1" applyFont="1" applyFill="1" applyBorder="1" applyAlignment="1">
      <alignment horizontal="center" vertical="center" wrapText="1"/>
    </xf>
    <xf numFmtId="164" fontId="1" fillId="3" borderId="4" xfId="0" applyNumberFormat="1" applyFont="1" applyFill="1" applyBorder="1" applyAlignment="1">
      <alignment horizontal="center" vertical="center" wrapText="1"/>
    </xf>
    <xf numFmtId="164" fontId="0" fillId="11" borderId="2" xfId="0" applyNumberFormat="1" applyFill="1" applyBorder="1" applyAlignment="1">
      <alignment horizontal="left" vertical="center" wrapText="1"/>
    </xf>
    <xf numFmtId="0" fontId="0" fillId="11" borderId="3" xfId="0" applyFill="1" applyBorder="1" applyAlignment="1">
      <alignment horizontal="left" vertical="center" wrapText="1"/>
    </xf>
    <xf numFmtId="0" fontId="0" fillId="11" borderId="4" xfId="0" applyFill="1" applyBorder="1" applyAlignment="1">
      <alignment horizontal="left" vertical="center" wrapText="1"/>
    </xf>
    <xf numFmtId="164" fontId="0" fillId="15" borderId="2" xfId="0" applyNumberFormat="1" applyFill="1" applyBorder="1" applyAlignment="1">
      <alignment horizontal="left" vertical="center" wrapText="1"/>
    </xf>
    <xf numFmtId="0" fontId="0" fillId="15" borderId="3" xfId="0" applyFill="1" applyBorder="1" applyAlignment="1">
      <alignment horizontal="left" vertical="center" wrapText="1"/>
    </xf>
    <xf numFmtId="0" fontId="0" fillId="15" borderId="4" xfId="0" applyFill="1" applyBorder="1" applyAlignment="1">
      <alignment horizontal="left" vertical="center" wrapText="1"/>
    </xf>
    <xf numFmtId="1" fontId="12" fillId="0" borderId="2" xfId="0" applyNumberFormat="1" applyFont="1" applyBorder="1" applyAlignment="1">
      <alignment horizontal="center" vertical="top"/>
    </xf>
    <xf numFmtId="0" fontId="12" fillId="0" borderId="3" xfId="0" applyFont="1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/>
    </xf>
    <xf numFmtId="164" fontId="13" fillId="0" borderId="2" xfId="0" applyNumberFormat="1" applyFont="1" applyBorder="1" applyAlignment="1">
      <alignment horizontal="center" vertical="center" textRotation="90" wrapText="1"/>
    </xf>
    <xf numFmtId="0" fontId="13" fillId="0" borderId="3" xfId="0" applyFont="1" applyBorder="1" applyAlignment="1">
      <alignment horizontal="center" vertical="center" textRotation="90" wrapText="1"/>
    </xf>
    <xf numFmtId="0" fontId="0" fillId="0" borderId="3" xfId="0" applyBorder="1" applyAlignment="1">
      <alignment horizontal="center" vertical="center" textRotation="90" wrapText="1"/>
    </xf>
    <xf numFmtId="0" fontId="0" fillId="0" borderId="4" xfId="0" applyBorder="1" applyAlignment="1">
      <alignment horizontal="center" vertical="center" textRotation="90" wrapText="1"/>
    </xf>
    <xf numFmtId="164" fontId="0" fillId="18" borderId="2" xfId="0" applyNumberFormat="1" applyFill="1" applyBorder="1" applyAlignment="1">
      <alignment horizontal="left" vertical="center" wrapText="1"/>
    </xf>
    <xf numFmtId="0" fontId="0" fillId="18" borderId="3" xfId="0" applyFill="1" applyBorder="1" applyAlignment="1">
      <alignment horizontal="left" vertical="center" wrapText="1"/>
    </xf>
    <xf numFmtId="0" fontId="0" fillId="18" borderId="4" xfId="0" applyFill="1" applyBorder="1" applyAlignment="1">
      <alignment horizontal="left" vertical="center" wrapText="1"/>
    </xf>
    <xf numFmtId="164" fontId="0" fillId="12" borderId="2" xfId="0" applyNumberFormat="1" applyFill="1" applyBorder="1" applyAlignment="1">
      <alignment horizontal="left" vertical="center" wrapText="1"/>
    </xf>
    <xf numFmtId="0" fontId="0" fillId="12" borderId="3" xfId="0" applyFill="1" applyBorder="1" applyAlignment="1">
      <alignment horizontal="left" vertical="center" wrapText="1"/>
    </xf>
    <xf numFmtId="0" fontId="0" fillId="12" borderId="4" xfId="0" applyFill="1" applyBorder="1" applyAlignment="1">
      <alignment horizontal="left" vertical="center" wrapText="1"/>
    </xf>
    <xf numFmtId="164" fontId="0" fillId="13" borderId="2" xfId="0" applyNumberFormat="1" applyFill="1" applyBorder="1" applyAlignment="1">
      <alignment horizontal="left" vertical="center" wrapText="1"/>
    </xf>
    <xf numFmtId="164" fontId="0" fillId="14" borderId="2" xfId="0" applyNumberFormat="1" applyFill="1" applyBorder="1" applyAlignment="1">
      <alignment horizontal="left" vertical="center" wrapText="1"/>
    </xf>
    <xf numFmtId="164" fontId="0" fillId="17" borderId="2" xfId="0" applyNumberFormat="1" applyFill="1" applyBorder="1" applyAlignment="1">
      <alignment horizontal="left" vertical="center" wrapText="1"/>
    </xf>
    <xf numFmtId="0" fontId="0" fillId="13" borderId="3" xfId="0" applyFill="1" applyBorder="1" applyAlignment="1">
      <alignment horizontal="left" vertical="center" wrapText="1"/>
    </xf>
    <xf numFmtId="0" fontId="0" fillId="13" borderId="4" xfId="0" applyFill="1" applyBorder="1" applyAlignment="1">
      <alignment horizontal="left" vertical="center" wrapText="1"/>
    </xf>
    <xf numFmtId="0" fontId="0" fillId="14" borderId="3" xfId="0" applyFill="1" applyBorder="1" applyAlignment="1">
      <alignment horizontal="left" vertical="center" wrapText="1"/>
    </xf>
    <xf numFmtId="0" fontId="0" fillId="14" borderId="4" xfId="0" applyFill="1" applyBorder="1" applyAlignment="1">
      <alignment horizontal="left" vertical="center" wrapText="1"/>
    </xf>
    <xf numFmtId="0" fontId="4" fillId="4" borderId="6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textRotation="90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/>
    </xf>
    <xf numFmtId="0" fontId="0" fillId="0" borderId="13" xfId="0" applyBorder="1" applyAlignment="1">
      <alignment horizontal="center" wrapText="1"/>
    </xf>
    <xf numFmtId="0" fontId="8" fillId="16" borderId="5" xfId="0" applyFont="1" applyFill="1" applyBorder="1" applyAlignment="1">
      <alignment horizontal="center"/>
    </xf>
    <xf numFmtId="0" fontId="8" fillId="16" borderId="6" xfId="0" applyFont="1" applyFill="1" applyBorder="1" applyAlignment="1">
      <alignment horizontal="center"/>
    </xf>
    <xf numFmtId="0" fontId="8" fillId="16" borderId="7" xfId="0" applyFont="1" applyFill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</cellXfs>
  <cellStyles count="1">
    <cellStyle name="Standaard" xfId="0" builtinId="0"/>
  </cellStyles>
  <dxfs count="8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139"/>
  <sheetViews>
    <sheetView tabSelected="1" zoomScale="165" zoomScaleNormal="130" workbookViewId="0">
      <pane ySplit="2" topLeftCell="A3" activePane="bottomLeft" state="frozen"/>
      <selection activeCell="B1" sqref="B1"/>
      <selection pane="bottomLeft" activeCell="B1" sqref="B1"/>
    </sheetView>
  </sheetViews>
  <sheetFormatPr baseColWidth="10" defaultColWidth="9" defaultRowHeight="15" x14ac:dyDescent="0.2"/>
  <cols>
    <col min="1" max="1" width="16" style="19" customWidth="1"/>
    <col min="2" max="2" width="40.83203125" style="24" customWidth="1"/>
    <col min="3" max="3" width="71.83203125" style="53" customWidth="1"/>
    <col min="4" max="4" width="30.6640625" style="24" customWidth="1"/>
    <col min="5" max="8" width="3.6640625" style="26" customWidth="1"/>
    <col min="9" max="9" width="5" style="26" customWidth="1"/>
    <col min="10" max="10" width="8" style="24" customWidth="1"/>
    <col min="11" max="11" width="8.33203125" style="26" customWidth="1"/>
    <col min="12" max="12" width="10.6640625" style="26" customWidth="1"/>
    <col min="13" max="13" width="14" style="26" customWidth="1"/>
    <col min="14" max="14" width="46.33203125" style="19" customWidth="1"/>
    <col min="15" max="18" width="3.6640625" style="26" customWidth="1"/>
    <col min="19" max="19" width="5" style="26" customWidth="1"/>
    <col min="20" max="20" width="10" style="19" customWidth="1"/>
    <col min="21" max="21" width="10.33203125" style="26" customWidth="1"/>
    <col min="22" max="22" width="48.6640625" style="26" customWidth="1"/>
    <col min="23" max="23" width="22.6640625" style="26" customWidth="1"/>
    <col min="24" max="24" width="25.83203125" style="25" customWidth="1"/>
    <col min="25" max="25" width="25.83203125" style="78" customWidth="1"/>
    <col min="26" max="29" width="3.6640625" style="26" customWidth="1"/>
    <col min="30" max="30" width="5" style="26" bestFit="1" customWidth="1"/>
    <col min="31" max="31" width="9.83203125" style="19" customWidth="1"/>
    <col min="32" max="32" width="10.1640625" style="19" customWidth="1"/>
    <col min="33" max="16384" width="9" style="19"/>
  </cols>
  <sheetData>
    <row r="1" spans="1:32" s="85" customFormat="1" ht="16" x14ac:dyDescent="0.2">
      <c r="A1" s="79" t="s">
        <v>101</v>
      </c>
      <c r="B1" s="80"/>
      <c r="C1" s="81"/>
      <c r="D1" s="101" t="s">
        <v>105</v>
      </c>
      <c r="E1" s="97" t="s">
        <v>106</v>
      </c>
      <c r="F1" s="97"/>
      <c r="G1" s="97"/>
      <c r="H1" s="97"/>
      <c r="I1" s="97"/>
      <c r="J1" s="18" t="s">
        <v>107</v>
      </c>
      <c r="K1" s="48" t="s">
        <v>108</v>
      </c>
      <c r="L1" s="48" t="s">
        <v>109</v>
      </c>
      <c r="M1" s="18" t="s">
        <v>109</v>
      </c>
      <c r="N1" s="82" t="s">
        <v>110</v>
      </c>
      <c r="O1" s="97" t="s">
        <v>111</v>
      </c>
      <c r="P1" s="97"/>
      <c r="Q1" s="97"/>
      <c r="R1" s="97"/>
      <c r="S1" s="97"/>
      <c r="T1" s="83" t="s">
        <v>112</v>
      </c>
      <c r="U1" s="18" t="s">
        <v>113</v>
      </c>
      <c r="V1" s="84" t="s">
        <v>114</v>
      </c>
      <c r="W1" s="84" t="s">
        <v>114</v>
      </c>
      <c r="X1" s="84" t="s">
        <v>114</v>
      </c>
      <c r="Y1" s="75" t="s">
        <v>114</v>
      </c>
      <c r="Z1" s="97" t="s">
        <v>111</v>
      </c>
      <c r="AA1" s="97"/>
      <c r="AB1" s="97"/>
      <c r="AC1" s="97"/>
      <c r="AD1" s="97"/>
      <c r="AE1" s="83" t="s">
        <v>112</v>
      </c>
      <c r="AF1" s="83" t="s">
        <v>113</v>
      </c>
    </row>
    <row r="2" spans="1:32" ht="32" x14ac:dyDescent="0.2">
      <c r="A2" s="59" t="s">
        <v>99</v>
      </c>
      <c r="B2" s="59" t="s">
        <v>103</v>
      </c>
      <c r="C2" s="59" t="s">
        <v>104</v>
      </c>
      <c r="D2" s="102"/>
      <c r="E2" s="18" t="s">
        <v>9</v>
      </c>
      <c r="F2" s="18" t="s">
        <v>10</v>
      </c>
      <c r="G2" s="18" t="s">
        <v>11</v>
      </c>
      <c r="H2" s="18" t="s">
        <v>12</v>
      </c>
      <c r="I2" s="18" t="s">
        <v>0</v>
      </c>
      <c r="J2" s="18" t="s">
        <v>4</v>
      </c>
      <c r="K2" s="18" t="s">
        <v>3</v>
      </c>
      <c r="L2" s="49" t="s">
        <v>37</v>
      </c>
      <c r="M2" s="49" t="s">
        <v>102</v>
      </c>
      <c r="N2" s="20" t="s">
        <v>38</v>
      </c>
      <c r="O2" s="18" t="s">
        <v>9</v>
      </c>
      <c r="P2" s="18" t="s">
        <v>10</v>
      </c>
      <c r="Q2" s="18" t="s">
        <v>11</v>
      </c>
      <c r="R2" s="18" t="s">
        <v>12</v>
      </c>
      <c r="S2" s="18" t="s">
        <v>0</v>
      </c>
      <c r="T2" s="18" t="s">
        <v>2</v>
      </c>
      <c r="U2" s="18" t="s">
        <v>39</v>
      </c>
      <c r="V2" s="73" t="s">
        <v>5</v>
      </c>
      <c r="W2" s="18" t="s">
        <v>116</v>
      </c>
      <c r="X2" s="73" t="s">
        <v>117</v>
      </c>
      <c r="Y2" s="74" t="s">
        <v>118</v>
      </c>
      <c r="Z2" s="18" t="s">
        <v>9</v>
      </c>
      <c r="AA2" s="18" t="s">
        <v>10</v>
      </c>
      <c r="AB2" s="18" t="s">
        <v>11</v>
      </c>
      <c r="AC2" s="18" t="s">
        <v>12</v>
      </c>
      <c r="AD2" s="18" t="s">
        <v>0</v>
      </c>
      <c r="AE2" s="18" t="s">
        <v>115</v>
      </c>
      <c r="AF2" s="18" t="s">
        <v>3</v>
      </c>
    </row>
    <row r="3" spans="1:32" ht="32" x14ac:dyDescent="0.2">
      <c r="A3" s="113" t="s">
        <v>100</v>
      </c>
      <c r="B3" s="123" t="s">
        <v>161</v>
      </c>
      <c r="C3" s="87" t="s">
        <v>120</v>
      </c>
      <c r="D3" s="123" t="s">
        <v>139</v>
      </c>
      <c r="E3" s="55">
        <v>5</v>
      </c>
      <c r="F3" s="55">
        <v>5</v>
      </c>
      <c r="G3" s="55">
        <v>5</v>
      </c>
      <c r="H3" s="55">
        <v>4</v>
      </c>
      <c r="I3" s="55">
        <f t="shared" ref="I3" si="0">MAX(1,E3:H3)</f>
        <v>5</v>
      </c>
      <c r="J3" s="55">
        <v>5</v>
      </c>
      <c r="K3" s="21">
        <f t="shared" ref="K3:K12" si="1">INDEX(RiskMatrix,I3,J3)</f>
        <v>25</v>
      </c>
      <c r="L3" s="27">
        <f t="shared" ref="L3:L12" si="2">VLOOKUP(K3,SLTS,2)</f>
        <v>2</v>
      </c>
      <c r="M3" s="109">
        <f>MAX(L3:L56)</f>
        <v>2</v>
      </c>
      <c r="N3" s="19" t="s">
        <v>146</v>
      </c>
      <c r="O3" s="55">
        <v>5</v>
      </c>
      <c r="P3" s="55">
        <v>5</v>
      </c>
      <c r="Q3" s="55">
        <v>5</v>
      </c>
      <c r="R3" s="55">
        <v>4</v>
      </c>
      <c r="S3" s="55">
        <f t="shared" ref="S3" si="3">MAX(1,O3:R3)</f>
        <v>5</v>
      </c>
      <c r="T3" s="55">
        <v>5</v>
      </c>
      <c r="U3" s="21">
        <f t="shared" ref="U3" si="4">INDEX(RiskMatrix,S3,T3)</f>
        <v>25</v>
      </c>
      <c r="V3" s="87" t="s">
        <v>147</v>
      </c>
      <c r="W3" s="21">
        <v>3</v>
      </c>
      <c r="X3" s="21">
        <v>3</v>
      </c>
      <c r="Y3" s="21">
        <f>X3*W3</f>
        <v>9</v>
      </c>
      <c r="Z3" s="55">
        <v>1</v>
      </c>
      <c r="AA3" s="55">
        <v>1</v>
      </c>
      <c r="AB3" s="55">
        <v>1</v>
      </c>
      <c r="AC3" s="55">
        <v>1</v>
      </c>
      <c r="AD3" s="55">
        <f t="shared" ref="AD3" si="5">MAX(1,Z3:AC3)</f>
        <v>1</v>
      </c>
      <c r="AE3" s="55">
        <v>2</v>
      </c>
      <c r="AF3" s="21">
        <f>INDEX(RiskMatrix,AD3,AE3)</f>
        <v>2</v>
      </c>
    </row>
    <row r="4" spans="1:32" ht="16" x14ac:dyDescent="0.2">
      <c r="A4" s="114"/>
      <c r="B4" s="126"/>
      <c r="C4" s="87" t="s">
        <v>121</v>
      </c>
      <c r="D4" s="99"/>
      <c r="E4" s="61"/>
      <c r="F4" s="61"/>
      <c r="G4" s="61"/>
      <c r="H4" s="61"/>
      <c r="I4" s="61"/>
      <c r="J4" s="61"/>
      <c r="K4" s="21"/>
      <c r="L4" s="27"/>
      <c r="M4" s="110"/>
      <c r="N4" s="63" t="s">
        <v>144</v>
      </c>
      <c r="O4" s="21"/>
      <c r="P4" s="21"/>
      <c r="Q4" s="21"/>
      <c r="R4" s="21"/>
      <c r="S4" s="21"/>
      <c r="T4" s="21"/>
      <c r="U4" s="21"/>
      <c r="V4" s="87" t="s">
        <v>149</v>
      </c>
      <c r="W4" s="21"/>
      <c r="X4" s="21"/>
      <c r="Y4" s="21">
        <f t="shared" ref="Y4:Y67" si="6">X4*W4</f>
        <v>0</v>
      </c>
      <c r="Z4" s="21"/>
      <c r="AA4" s="21"/>
      <c r="AB4" s="21"/>
      <c r="AC4" s="21"/>
      <c r="AD4" s="21"/>
      <c r="AE4" s="21"/>
      <c r="AF4" s="21"/>
    </row>
    <row r="5" spans="1:32" ht="16" x14ac:dyDescent="0.2">
      <c r="A5" s="114"/>
      <c r="B5" s="126"/>
      <c r="C5" s="87" t="s">
        <v>122</v>
      </c>
      <c r="D5" s="99"/>
      <c r="E5" s="61"/>
      <c r="F5" s="61"/>
      <c r="G5" s="61"/>
      <c r="H5" s="61"/>
      <c r="I5" s="61"/>
      <c r="J5" s="61"/>
      <c r="K5" s="21"/>
      <c r="L5" s="27"/>
      <c r="M5" s="110"/>
      <c r="N5" s="63"/>
      <c r="O5" s="21"/>
      <c r="P5" s="21"/>
      <c r="Q5" s="21"/>
      <c r="R5" s="21"/>
      <c r="S5" s="21"/>
      <c r="T5" s="21"/>
      <c r="U5" s="21"/>
      <c r="V5" s="87" t="s">
        <v>150</v>
      </c>
      <c r="W5" s="21"/>
      <c r="X5" s="21"/>
      <c r="Y5" s="21">
        <f t="shared" si="6"/>
        <v>0</v>
      </c>
      <c r="Z5" s="21"/>
      <c r="AA5" s="21"/>
      <c r="AB5" s="21"/>
      <c r="AC5" s="21"/>
      <c r="AD5" s="21"/>
      <c r="AE5" s="21"/>
      <c r="AF5" s="21"/>
    </row>
    <row r="6" spans="1:32" ht="32" x14ac:dyDescent="0.2">
      <c r="A6" s="114"/>
      <c r="B6" s="126"/>
      <c r="C6" s="87" t="s">
        <v>123</v>
      </c>
      <c r="D6" s="99"/>
      <c r="E6" s="61"/>
      <c r="F6" s="61"/>
      <c r="G6" s="61"/>
      <c r="H6" s="61"/>
      <c r="I6" s="61"/>
      <c r="J6" s="61"/>
      <c r="K6" s="21"/>
      <c r="L6" s="27"/>
      <c r="M6" s="110"/>
      <c r="N6" s="63"/>
      <c r="O6" s="21"/>
      <c r="P6" s="21"/>
      <c r="Q6" s="21"/>
      <c r="R6" s="21"/>
      <c r="S6" s="21"/>
      <c r="T6" s="21"/>
      <c r="U6" s="21"/>
      <c r="V6" s="87" t="s">
        <v>151</v>
      </c>
      <c r="W6" s="21"/>
      <c r="X6" s="21"/>
      <c r="Y6" s="21">
        <f t="shared" si="6"/>
        <v>0</v>
      </c>
      <c r="Z6" s="21"/>
      <c r="AA6" s="21"/>
      <c r="AB6" s="21"/>
      <c r="AC6" s="21"/>
      <c r="AD6" s="21"/>
      <c r="AE6" s="21"/>
      <c r="AF6" s="21"/>
    </row>
    <row r="7" spans="1:32" ht="32" x14ac:dyDescent="0.2">
      <c r="A7" s="114"/>
      <c r="B7" s="126"/>
      <c r="C7" s="87" t="s">
        <v>124</v>
      </c>
      <c r="D7" s="99"/>
      <c r="E7" s="61"/>
      <c r="F7" s="61"/>
      <c r="G7" s="61"/>
      <c r="H7" s="61"/>
      <c r="I7" s="61"/>
      <c r="J7" s="62"/>
      <c r="K7" s="21"/>
      <c r="L7" s="27"/>
      <c r="M7" s="110"/>
      <c r="N7" s="63"/>
      <c r="O7" s="21"/>
      <c r="P7" s="21"/>
      <c r="Q7" s="21"/>
      <c r="R7" s="21"/>
      <c r="S7" s="21"/>
      <c r="T7" s="21"/>
      <c r="U7" s="21"/>
      <c r="V7" s="87" t="s">
        <v>152</v>
      </c>
      <c r="W7" s="21"/>
      <c r="X7" s="21"/>
      <c r="Y7" s="21">
        <f t="shared" si="6"/>
        <v>0</v>
      </c>
      <c r="Z7" s="21"/>
      <c r="AA7" s="21"/>
      <c r="AB7" s="21"/>
      <c r="AC7" s="21"/>
      <c r="AD7" s="21"/>
      <c r="AE7" s="21"/>
      <c r="AF7" s="21"/>
    </row>
    <row r="8" spans="1:32" ht="32" x14ac:dyDescent="0.2">
      <c r="A8" s="114"/>
      <c r="B8" s="126"/>
      <c r="C8" s="87" t="s">
        <v>125</v>
      </c>
      <c r="D8" s="99"/>
      <c r="E8" s="61"/>
      <c r="F8" s="61"/>
      <c r="G8" s="61"/>
      <c r="H8" s="61"/>
      <c r="I8" s="61"/>
      <c r="J8" s="61"/>
      <c r="K8" s="21"/>
      <c r="L8" s="27"/>
      <c r="M8" s="110"/>
      <c r="N8" s="63"/>
      <c r="O8" s="21"/>
      <c r="P8" s="21"/>
      <c r="Q8" s="21"/>
      <c r="R8" s="21"/>
      <c r="S8" s="21"/>
      <c r="T8" s="21"/>
      <c r="U8" s="21"/>
      <c r="V8" s="87" t="s">
        <v>153</v>
      </c>
      <c r="W8" s="21"/>
      <c r="X8" s="21"/>
      <c r="Y8" s="21">
        <f t="shared" si="6"/>
        <v>0</v>
      </c>
      <c r="Z8" s="21"/>
      <c r="AA8" s="21"/>
      <c r="AB8" s="21"/>
      <c r="AC8" s="21"/>
      <c r="AD8" s="21"/>
      <c r="AE8" s="21"/>
      <c r="AF8" s="21"/>
    </row>
    <row r="9" spans="1:32" s="24" customFormat="1" ht="48" x14ac:dyDescent="0.2">
      <c r="A9" s="114"/>
      <c r="B9" s="126"/>
      <c r="C9" s="87" t="s">
        <v>126</v>
      </c>
      <c r="D9" s="99"/>
      <c r="E9" s="61"/>
      <c r="F9" s="61"/>
      <c r="G9" s="61"/>
      <c r="H9" s="61"/>
      <c r="I9" s="61"/>
      <c r="J9" s="61"/>
      <c r="K9" s="21"/>
      <c r="L9" s="27"/>
      <c r="M9" s="110"/>
      <c r="N9" s="63"/>
      <c r="O9" s="21"/>
      <c r="P9" s="21"/>
      <c r="Q9" s="21"/>
      <c r="R9" s="21"/>
      <c r="S9" s="21"/>
      <c r="T9" s="21"/>
      <c r="U9" s="21"/>
      <c r="V9" s="87" t="s">
        <v>154</v>
      </c>
      <c r="W9" s="21"/>
      <c r="X9" s="21"/>
      <c r="Y9" s="21">
        <f t="shared" si="6"/>
        <v>0</v>
      </c>
      <c r="Z9" s="21"/>
      <c r="AA9" s="21"/>
      <c r="AB9" s="21"/>
      <c r="AC9" s="21"/>
      <c r="AD9" s="21"/>
      <c r="AE9" s="21"/>
      <c r="AF9" s="21"/>
    </row>
    <row r="10" spans="1:32" ht="32" x14ac:dyDescent="0.2">
      <c r="A10" s="114"/>
      <c r="B10" s="126"/>
      <c r="C10" s="87" t="s">
        <v>127</v>
      </c>
      <c r="D10" s="99"/>
      <c r="E10" s="61"/>
      <c r="F10" s="61"/>
      <c r="G10" s="61"/>
      <c r="H10" s="61"/>
      <c r="I10" s="61"/>
      <c r="J10" s="61"/>
      <c r="K10" s="21"/>
      <c r="L10" s="27"/>
      <c r="M10" s="110"/>
      <c r="N10" s="63"/>
      <c r="O10" s="21"/>
      <c r="P10" s="21"/>
      <c r="Q10" s="21"/>
      <c r="R10" s="21"/>
      <c r="S10" s="21"/>
      <c r="T10" s="21"/>
      <c r="U10" s="21"/>
      <c r="V10" s="87" t="s">
        <v>153</v>
      </c>
      <c r="W10" s="21"/>
      <c r="X10" s="21"/>
      <c r="Y10" s="21">
        <f t="shared" si="6"/>
        <v>0</v>
      </c>
      <c r="Z10" s="21"/>
      <c r="AA10" s="21"/>
      <c r="AB10" s="21"/>
      <c r="AC10" s="21"/>
      <c r="AD10" s="21"/>
      <c r="AE10" s="21"/>
      <c r="AF10" s="21"/>
    </row>
    <row r="11" spans="1:32" ht="16" x14ac:dyDescent="0.2">
      <c r="A11" s="114"/>
      <c r="B11" s="127"/>
      <c r="C11" s="87" t="s">
        <v>128</v>
      </c>
      <c r="D11" s="100"/>
      <c r="E11" s="61"/>
      <c r="F11" s="61"/>
      <c r="G11" s="61"/>
      <c r="H11" s="61"/>
      <c r="I11" s="61"/>
      <c r="J11" s="61"/>
      <c r="K11" s="21"/>
      <c r="L11" s="27"/>
      <c r="M11" s="110"/>
      <c r="N11" s="23"/>
      <c r="O11" s="21"/>
      <c r="P11" s="21"/>
      <c r="Q11" s="21"/>
      <c r="R11" s="21"/>
      <c r="S11" s="21"/>
      <c r="T11" s="21"/>
      <c r="U11" s="21"/>
      <c r="V11" s="87" t="s">
        <v>155</v>
      </c>
      <c r="W11" s="21"/>
      <c r="X11" s="21"/>
      <c r="Y11" s="21">
        <f t="shared" si="6"/>
        <v>0</v>
      </c>
      <c r="Z11" s="21"/>
      <c r="AA11" s="21"/>
      <c r="AB11" s="21"/>
      <c r="AC11" s="21"/>
      <c r="AD11" s="21"/>
      <c r="AE11" s="21"/>
      <c r="AF11" s="21"/>
    </row>
    <row r="12" spans="1:32" ht="16" x14ac:dyDescent="0.2">
      <c r="A12" s="114"/>
      <c r="B12" s="124" t="s">
        <v>140</v>
      </c>
      <c r="C12" s="87" t="s">
        <v>135</v>
      </c>
      <c r="D12" s="124" t="s">
        <v>139</v>
      </c>
      <c r="E12" s="56">
        <v>5</v>
      </c>
      <c r="F12" s="56">
        <v>5</v>
      </c>
      <c r="G12" s="56">
        <v>5</v>
      </c>
      <c r="H12" s="56">
        <v>4</v>
      </c>
      <c r="I12" s="56">
        <f t="shared" ref="I12" si="7">MAX(1,E12:H12)</f>
        <v>5</v>
      </c>
      <c r="J12" s="56">
        <v>4</v>
      </c>
      <c r="K12" s="56">
        <f t="shared" si="1"/>
        <v>20</v>
      </c>
      <c r="L12" s="27">
        <f t="shared" si="2"/>
        <v>2</v>
      </c>
      <c r="M12" s="110"/>
      <c r="N12" s="92" t="s">
        <v>143</v>
      </c>
      <c r="O12" s="56">
        <v>5</v>
      </c>
      <c r="P12" s="56">
        <v>5</v>
      </c>
      <c r="Q12" s="56">
        <v>5</v>
      </c>
      <c r="R12" s="56">
        <v>4</v>
      </c>
      <c r="S12" s="56">
        <f t="shared" ref="S12" si="8">MAX(1,O12:R12)</f>
        <v>5</v>
      </c>
      <c r="T12" s="56">
        <v>3</v>
      </c>
      <c r="U12" s="21">
        <f t="shared" ref="U12" si="9">INDEX(RiskMatrix,S12,T12)</f>
        <v>15</v>
      </c>
      <c r="V12" s="87" t="s">
        <v>156</v>
      </c>
      <c r="W12" s="21"/>
      <c r="X12" s="21"/>
      <c r="Y12" s="21">
        <f t="shared" si="6"/>
        <v>0</v>
      </c>
      <c r="Z12" s="56">
        <v>1</v>
      </c>
      <c r="AA12" s="56">
        <v>1</v>
      </c>
      <c r="AB12" s="56">
        <v>1</v>
      </c>
      <c r="AC12" s="56">
        <v>1</v>
      </c>
      <c r="AD12" s="56">
        <f t="shared" ref="AD12" si="10">MAX(1,Z12:AC12)</f>
        <v>1</v>
      </c>
      <c r="AE12" s="56">
        <v>1</v>
      </c>
      <c r="AF12" s="21">
        <f>INDEX(RiskMatrix,AD12,AE12)</f>
        <v>1</v>
      </c>
    </row>
    <row r="13" spans="1:32" s="24" customFormat="1" ht="32" x14ac:dyDescent="0.2">
      <c r="A13" s="114"/>
      <c r="B13" s="128"/>
      <c r="C13" s="87" t="s">
        <v>130</v>
      </c>
      <c r="D13" s="99"/>
      <c r="E13" s="61"/>
      <c r="F13" s="61"/>
      <c r="G13" s="61"/>
      <c r="H13" s="61"/>
      <c r="I13" s="61"/>
      <c r="J13" s="61"/>
      <c r="K13" s="61"/>
      <c r="L13" s="27"/>
      <c r="M13" s="110"/>
      <c r="N13" s="92" t="s">
        <v>144</v>
      </c>
      <c r="O13" s="21"/>
      <c r="P13" s="21"/>
      <c r="Q13" s="21"/>
      <c r="R13" s="21"/>
      <c r="S13" s="21"/>
      <c r="T13" s="21"/>
      <c r="U13" s="21"/>
      <c r="V13" s="87" t="s">
        <v>157</v>
      </c>
      <c r="W13" s="21"/>
      <c r="X13" s="21"/>
      <c r="Y13" s="21">
        <f t="shared" si="6"/>
        <v>0</v>
      </c>
      <c r="Z13" s="21"/>
      <c r="AA13" s="21"/>
      <c r="AB13" s="21"/>
      <c r="AC13" s="21"/>
      <c r="AD13" s="21"/>
      <c r="AE13" s="21"/>
      <c r="AF13" s="21"/>
    </row>
    <row r="14" spans="1:32" ht="32" x14ac:dyDescent="0.2">
      <c r="A14" s="114"/>
      <c r="B14" s="128"/>
      <c r="C14" s="87" t="s">
        <v>131</v>
      </c>
      <c r="D14" s="99"/>
      <c r="E14" s="61"/>
      <c r="F14" s="61"/>
      <c r="G14" s="61"/>
      <c r="H14" s="61"/>
      <c r="I14" s="61"/>
      <c r="J14" s="61"/>
      <c r="K14" s="61"/>
      <c r="L14" s="27"/>
      <c r="M14" s="110"/>
      <c r="N14" s="64" t="s">
        <v>145</v>
      </c>
      <c r="O14" s="21"/>
      <c r="P14" s="21"/>
      <c r="Q14" s="21"/>
      <c r="R14" s="21"/>
      <c r="S14" s="21"/>
      <c r="T14" s="21"/>
      <c r="U14" s="21"/>
      <c r="V14" s="87" t="s">
        <v>158</v>
      </c>
      <c r="W14" s="21"/>
      <c r="X14" s="21"/>
      <c r="Y14" s="21">
        <f t="shared" si="6"/>
        <v>0</v>
      </c>
      <c r="Z14" s="21"/>
      <c r="AA14" s="21"/>
      <c r="AB14" s="21"/>
      <c r="AC14" s="21"/>
      <c r="AD14" s="21"/>
      <c r="AE14" s="21"/>
      <c r="AF14" s="21"/>
    </row>
    <row r="15" spans="1:32" ht="32" x14ac:dyDescent="0.2">
      <c r="A15" s="114"/>
      <c r="B15" s="128"/>
      <c r="C15" s="87" t="s">
        <v>132</v>
      </c>
      <c r="D15" s="99"/>
      <c r="E15" s="61"/>
      <c r="F15" s="61"/>
      <c r="G15" s="61"/>
      <c r="H15" s="61"/>
      <c r="I15" s="61"/>
      <c r="J15" s="61"/>
      <c r="K15" s="61"/>
      <c r="L15" s="27"/>
      <c r="M15" s="110"/>
      <c r="N15" s="93" t="s">
        <v>146</v>
      </c>
      <c r="O15" s="21"/>
      <c r="P15" s="21"/>
      <c r="Q15" s="21"/>
      <c r="R15" s="21"/>
      <c r="S15" s="21"/>
      <c r="T15" s="21"/>
      <c r="U15" s="21"/>
      <c r="V15" s="87" t="s">
        <v>159</v>
      </c>
      <c r="W15" s="21"/>
      <c r="X15" s="21"/>
      <c r="Y15" s="21">
        <f t="shared" si="6"/>
        <v>0</v>
      </c>
      <c r="Z15" s="21"/>
      <c r="AA15" s="21"/>
      <c r="AB15" s="21"/>
      <c r="AC15" s="21"/>
      <c r="AD15" s="21"/>
      <c r="AE15" s="21"/>
      <c r="AF15" s="21"/>
    </row>
    <row r="16" spans="1:32" ht="16" x14ac:dyDescent="0.2">
      <c r="A16" s="114"/>
      <c r="B16" s="128"/>
      <c r="C16" s="87" t="s">
        <v>133</v>
      </c>
      <c r="D16" s="99"/>
      <c r="E16" s="61"/>
      <c r="F16" s="61"/>
      <c r="G16" s="61"/>
      <c r="H16" s="61"/>
      <c r="I16" s="61"/>
      <c r="J16" s="61"/>
      <c r="K16" s="61"/>
      <c r="L16" s="27"/>
      <c r="M16" s="110"/>
      <c r="N16" s="64"/>
      <c r="O16" s="21"/>
      <c r="P16" s="21"/>
      <c r="Q16" s="21"/>
      <c r="R16" s="21"/>
      <c r="S16" s="21"/>
      <c r="T16" s="21"/>
      <c r="U16" s="21"/>
      <c r="V16" s="87" t="s">
        <v>160</v>
      </c>
      <c r="W16" s="21"/>
      <c r="X16" s="21"/>
      <c r="Y16" s="21">
        <f t="shared" si="6"/>
        <v>0</v>
      </c>
      <c r="Z16" s="21"/>
      <c r="AA16" s="21"/>
      <c r="AB16" s="21"/>
      <c r="AC16" s="21"/>
      <c r="AD16" s="21"/>
      <c r="AE16" s="21"/>
      <c r="AF16" s="21"/>
    </row>
    <row r="17" spans="1:32" ht="16" x14ac:dyDescent="0.2">
      <c r="A17" s="114"/>
      <c r="B17" s="128"/>
      <c r="C17" s="89" t="s">
        <v>136</v>
      </c>
      <c r="D17" s="99"/>
      <c r="E17" s="61"/>
      <c r="F17" s="61"/>
      <c r="G17" s="61"/>
      <c r="H17" s="61"/>
      <c r="I17" s="61"/>
      <c r="J17" s="61"/>
      <c r="K17" s="61"/>
      <c r="L17" s="27"/>
      <c r="M17" s="110"/>
      <c r="N17" s="64"/>
      <c r="O17" s="21"/>
      <c r="P17" s="21"/>
      <c r="Q17" s="21"/>
      <c r="R17" s="21"/>
      <c r="S17" s="21"/>
      <c r="T17" s="21"/>
      <c r="U17" s="21"/>
      <c r="V17" s="95" t="s">
        <v>148</v>
      </c>
      <c r="W17" s="96">
        <v>5</v>
      </c>
      <c r="X17" s="96">
        <v>3</v>
      </c>
      <c r="Y17" s="96">
        <f t="shared" si="6"/>
        <v>15</v>
      </c>
      <c r="Z17" s="21"/>
      <c r="AA17" s="21"/>
      <c r="AB17" s="21"/>
      <c r="AC17" s="21"/>
      <c r="AD17" s="21"/>
      <c r="AE17" s="21"/>
      <c r="AF17" s="21"/>
    </row>
    <row r="18" spans="1:32" ht="16" x14ac:dyDescent="0.2">
      <c r="A18" s="114"/>
      <c r="B18" s="128"/>
      <c r="C18" s="88" t="s">
        <v>124</v>
      </c>
      <c r="D18" s="99"/>
      <c r="E18" s="61"/>
      <c r="F18" s="61"/>
      <c r="G18" s="61"/>
      <c r="H18" s="61"/>
      <c r="I18" s="61"/>
      <c r="J18" s="61"/>
      <c r="K18" s="61"/>
      <c r="L18" s="27"/>
      <c r="M18" s="110"/>
      <c r="N18" s="64"/>
      <c r="O18" s="21"/>
      <c r="P18" s="21"/>
      <c r="Q18" s="21"/>
      <c r="R18" s="21"/>
      <c r="S18" s="21"/>
      <c r="T18" s="21"/>
      <c r="U18" s="21"/>
      <c r="V18" s="22"/>
      <c r="W18" s="21"/>
      <c r="X18" s="21"/>
      <c r="Y18" s="21">
        <f t="shared" si="6"/>
        <v>0</v>
      </c>
      <c r="Z18" s="21"/>
      <c r="AA18" s="21"/>
      <c r="AB18" s="21"/>
      <c r="AC18" s="21"/>
      <c r="AD18" s="21"/>
      <c r="AE18" s="21"/>
      <c r="AF18" s="21"/>
    </row>
    <row r="19" spans="1:32" ht="16" x14ac:dyDescent="0.2">
      <c r="A19" s="114"/>
      <c r="B19" s="128"/>
      <c r="C19" s="88" t="s">
        <v>120</v>
      </c>
      <c r="D19" s="99"/>
      <c r="E19" s="61"/>
      <c r="F19" s="61"/>
      <c r="G19" s="61"/>
      <c r="H19" s="61"/>
      <c r="I19" s="61"/>
      <c r="J19" s="61"/>
      <c r="K19" s="61"/>
      <c r="L19" s="27"/>
      <c r="M19" s="110"/>
      <c r="N19" s="64"/>
      <c r="O19" s="21"/>
      <c r="P19" s="21"/>
      <c r="Q19" s="21"/>
      <c r="R19" s="21"/>
      <c r="S19" s="21"/>
      <c r="T19" s="21"/>
      <c r="U19" s="21"/>
      <c r="V19" s="22"/>
      <c r="W19" s="21"/>
      <c r="X19" s="21"/>
      <c r="Y19" s="21">
        <f t="shared" si="6"/>
        <v>0</v>
      </c>
      <c r="Z19" s="21"/>
      <c r="AA19" s="21"/>
      <c r="AB19" s="21"/>
      <c r="AC19" s="21"/>
      <c r="AD19" s="21"/>
      <c r="AE19" s="21"/>
      <c r="AF19" s="21"/>
    </row>
    <row r="20" spans="1:32" ht="16" x14ac:dyDescent="0.2">
      <c r="A20" s="114"/>
      <c r="B20" s="128"/>
      <c r="C20" s="88" t="s">
        <v>123</v>
      </c>
      <c r="D20" s="99"/>
      <c r="E20" s="61"/>
      <c r="F20" s="61"/>
      <c r="G20" s="61"/>
      <c r="H20" s="61"/>
      <c r="I20" s="61"/>
      <c r="J20" s="61"/>
      <c r="K20" s="61"/>
      <c r="L20" s="27"/>
      <c r="M20" s="110"/>
      <c r="N20" s="64"/>
      <c r="O20" s="21"/>
      <c r="P20" s="21"/>
      <c r="Q20" s="21"/>
      <c r="R20" s="21"/>
      <c r="S20" s="21"/>
      <c r="T20" s="21"/>
      <c r="U20" s="21"/>
      <c r="V20" s="22"/>
      <c r="W20" s="21"/>
      <c r="X20" s="21"/>
      <c r="Y20" s="21">
        <f t="shared" si="6"/>
        <v>0</v>
      </c>
      <c r="Z20" s="21"/>
      <c r="AA20" s="21"/>
      <c r="AB20" s="21"/>
      <c r="AC20" s="21"/>
      <c r="AD20" s="21"/>
      <c r="AE20" s="21"/>
      <c r="AF20" s="21"/>
    </row>
    <row r="21" spans="1:32" ht="16" x14ac:dyDescent="0.2">
      <c r="A21" s="114"/>
      <c r="B21" s="128"/>
      <c r="C21" s="88" t="s">
        <v>125</v>
      </c>
      <c r="D21" s="99"/>
      <c r="E21" s="61"/>
      <c r="F21" s="61"/>
      <c r="G21" s="61"/>
      <c r="H21" s="61"/>
      <c r="I21" s="61"/>
      <c r="J21" s="61"/>
      <c r="K21" s="61"/>
      <c r="L21" s="27"/>
      <c r="M21" s="110"/>
      <c r="N21" s="64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>
        <f t="shared" si="6"/>
        <v>0</v>
      </c>
      <c r="Z21" s="21"/>
      <c r="AA21" s="21"/>
      <c r="AB21" s="21"/>
      <c r="AC21" s="21"/>
      <c r="AD21" s="21"/>
      <c r="AE21" s="21"/>
      <c r="AF21" s="21"/>
    </row>
    <row r="22" spans="1:32" ht="16" x14ac:dyDescent="0.2">
      <c r="A22" s="114"/>
      <c r="B22" s="128"/>
      <c r="C22" s="88" t="s">
        <v>127</v>
      </c>
      <c r="D22" s="99"/>
      <c r="E22" s="61"/>
      <c r="F22" s="61"/>
      <c r="G22" s="61"/>
      <c r="H22" s="61"/>
      <c r="I22" s="61"/>
      <c r="J22" s="61"/>
      <c r="K22" s="61"/>
      <c r="L22" s="27"/>
      <c r="M22" s="110"/>
      <c r="N22" s="23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>
        <f t="shared" si="6"/>
        <v>0</v>
      </c>
      <c r="Z22" s="21"/>
      <c r="AA22" s="21"/>
      <c r="AB22" s="21"/>
      <c r="AC22" s="21"/>
      <c r="AD22" s="21"/>
      <c r="AE22" s="21"/>
      <c r="AF22" s="21"/>
    </row>
    <row r="23" spans="1:32" ht="16" x14ac:dyDescent="0.2">
      <c r="A23" s="114"/>
      <c r="B23" s="129"/>
      <c r="C23" s="88" t="s">
        <v>128</v>
      </c>
      <c r="D23" s="100"/>
      <c r="E23" s="61"/>
      <c r="F23" s="61"/>
      <c r="G23" s="61"/>
      <c r="H23" s="61"/>
      <c r="I23" s="61"/>
      <c r="J23" s="61"/>
      <c r="K23" s="61"/>
      <c r="L23" s="27"/>
      <c r="M23" s="110"/>
      <c r="N23" s="23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>
        <f t="shared" si="6"/>
        <v>0</v>
      </c>
      <c r="Z23" s="21"/>
      <c r="AA23" s="21"/>
      <c r="AB23" s="21"/>
      <c r="AC23" s="21"/>
      <c r="AD23" s="21"/>
      <c r="AE23" s="21"/>
      <c r="AF23" s="21"/>
    </row>
    <row r="24" spans="1:32" ht="16" x14ac:dyDescent="0.2">
      <c r="A24" s="114"/>
      <c r="B24" s="103" t="s">
        <v>137</v>
      </c>
      <c r="C24" s="88" t="s">
        <v>130</v>
      </c>
      <c r="D24" s="103" t="s">
        <v>141</v>
      </c>
      <c r="E24" s="57">
        <v>4</v>
      </c>
      <c r="F24" s="57">
        <v>5</v>
      </c>
      <c r="G24" s="57">
        <v>4</v>
      </c>
      <c r="H24" s="57">
        <v>3</v>
      </c>
      <c r="I24" s="57">
        <f t="shared" ref="I24" si="11">MAX(1,E24:H24)</f>
        <v>5</v>
      </c>
      <c r="J24" s="57">
        <v>3</v>
      </c>
      <c r="K24" s="21">
        <f t="shared" ref="K24:K38" si="12">INDEX(RiskMatrix,I24,J24)</f>
        <v>15</v>
      </c>
      <c r="L24" s="27">
        <f t="shared" ref="L24" si="13">VLOOKUP(K24,SLTS,2)</f>
        <v>2</v>
      </c>
      <c r="M24" s="110"/>
      <c r="N24" s="91" t="s">
        <v>143</v>
      </c>
      <c r="O24" s="57">
        <v>4</v>
      </c>
      <c r="P24" s="57">
        <v>5</v>
      </c>
      <c r="Q24" s="57">
        <v>4</v>
      </c>
      <c r="R24" s="57">
        <v>3</v>
      </c>
      <c r="S24" s="57">
        <f t="shared" ref="S24" si="14">MAX(1,O24:R24)</f>
        <v>5</v>
      </c>
      <c r="T24" s="57">
        <v>3</v>
      </c>
      <c r="U24" s="21">
        <f t="shared" ref="U24" si="15">INDEX(RiskMatrix,S24,T24)</f>
        <v>15</v>
      </c>
      <c r="V24" s="21"/>
      <c r="W24" s="21"/>
      <c r="X24" s="21"/>
      <c r="Y24" s="21">
        <f t="shared" si="6"/>
        <v>0</v>
      </c>
      <c r="Z24" s="57">
        <v>1</v>
      </c>
      <c r="AA24" s="57">
        <v>1</v>
      </c>
      <c r="AB24" s="57">
        <v>1</v>
      </c>
      <c r="AC24" s="57">
        <v>1</v>
      </c>
      <c r="AD24" s="57">
        <f t="shared" ref="AD24" si="16">MAX(1,Z24:AC24)</f>
        <v>1</v>
      </c>
      <c r="AE24" s="57">
        <v>1</v>
      </c>
      <c r="AF24" s="21">
        <f>INDEX(RiskMatrix,AD24,AE24)</f>
        <v>1</v>
      </c>
    </row>
    <row r="25" spans="1:32" ht="16" x14ac:dyDescent="0.2">
      <c r="A25" s="114"/>
      <c r="B25" s="104"/>
      <c r="C25" s="88" t="s">
        <v>131</v>
      </c>
      <c r="D25" s="99"/>
      <c r="E25" s="61"/>
      <c r="F25" s="61"/>
      <c r="G25" s="61"/>
      <c r="H25" s="61"/>
      <c r="I25" s="61"/>
      <c r="J25" s="61"/>
      <c r="K25" s="21"/>
      <c r="L25" s="27"/>
      <c r="M25" s="110"/>
      <c r="N25" s="91" t="s">
        <v>144</v>
      </c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>
        <f t="shared" si="6"/>
        <v>0</v>
      </c>
      <c r="Z25" s="21"/>
      <c r="AA25" s="21"/>
      <c r="AB25" s="21"/>
      <c r="AC25" s="21"/>
      <c r="AD25" s="21"/>
      <c r="AE25" s="21"/>
      <c r="AF25" s="21"/>
    </row>
    <row r="26" spans="1:32" ht="16" x14ac:dyDescent="0.2">
      <c r="A26" s="114"/>
      <c r="B26" s="104"/>
      <c r="C26" s="90" t="s">
        <v>133</v>
      </c>
      <c r="D26" s="99"/>
      <c r="E26" s="61"/>
      <c r="F26" s="61"/>
      <c r="G26" s="61"/>
      <c r="H26" s="61"/>
      <c r="I26" s="61"/>
      <c r="J26" s="61"/>
      <c r="K26" s="21"/>
      <c r="L26" s="27"/>
      <c r="M26" s="110"/>
      <c r="N26" s="70" t="s">
        <v>145</v>
      </c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>
        <f t="shared" si="6"/>
        <v>0</v>
      </c>
      <c r="Z26" s="21"/>
      <c r="AA26" s="21"/>
      <c r="AB26" s="21"/>
      <c r="AC26" s="21"/>
      <c r="AD26" s="21"/>
      <c r="AE26" s="21"/>
      <c r="AF26" s="21"/>
    </row>
    <row r="27" spans="1:32" ht="16" x14ac:dyDescent="0.2">
      <c r="A27" s="114"/>
      <c r="B27" s="104"/>
      <c r="C27" s="90" t="s">
        <v>132</v>
      </c>
      <c r="D27" s="99"/>
      <c r="E27" s="61"/>
      <c r="F27" s="61"/>
      <c r="G27" s="61"/>
      <c r="H27" s="61"/>
      <c r="I27" s="61"/>
      <c r="J27" s="61"/>
      <c r="K27" s="21"/>
      <c r="L27" s="27"/>
      <c r="M27" s="110"/>
      <c r="N27" s="94" t="s">
        <v>146</v>
      </c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>
        <f t="shared" si="6"/>
        <v>0</v>
      </c>
      <c r="Z27" s="21"/>
      <c r="AA27" s="21"/>
      <c r="AB27" s="21"/>
      <c r="AC27" s="21"/>
      <c r="AD27" s="21"/>
      <c r="AE27" s="21"/>
      <c r="AF27" s="21"/>
    </row>
    <row r="28" spans="1:32" ht="16" x14ac:dyDescent="0.2">
      <c r="A28" s="114"/>
      <c r="B28" s="104"/>
      <c r="C28" s="90" t="s">
        <v>135</v>
      </c>
      <c r="D28" s="99"/>
      <c r="E28" s="61"/>
      <c r="F28" s="61"/>
      <c r="G28" s="61"/>
      <c r="H28" s="61"/>
      <c r="I28" s="61"/>
      <c r="J28" s="61"/>
      <c r="K28" s="21"/>
      <c r="L28" s="27"/>
      <c r="M28" s="110"/>
      <c r="N28" s="70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>
        <f t="shared" si="6"/>
        <v>0</v>
      </c>
      <c r="Z28" s="21"/>
      <c r="AA28" s="21"/>
      <c r="AB28" s="21"/>
      <c r="AC28" s="21"/>
      <c r="AD28" s="21"/>
      <c r="AE28" s="21"/>
      <c r="AF28" s="21"/>
    </row>
    <row r="29" spans="1:32" ht="16" x14ac:dyDescent="0.2">
      <c r="A29" s="114"/>
      <c r="B29" s="104"/>
      <c r="C29" s="90" t="s">
        <v>126</v>
      </c>
      <c r="D29" s="99"/>
      <c r="E29" s="61"/>
      <c r="F29" s="61"/>
      <c r="G29" s="61"/>
      <c r="H29" s="61"/>
      <c r="I29" s="61"/>
      <c r="J29" s="61"/>
      <c r="K29" s="21"/>
      <c r="L29" s="27"/>
      <c r="M29" s="110"/>
      <c r="N29" s="70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>
        <f t="shared" si="6"/>
        <v>0</v>
      </c>
      <c r="Z29" s="21"/>
      <c r="AA29" s="21"/>
      <c r="AB29" s="21"/>
      <c r="AC29" s="21"/>
      <c r="AD29" s="21"/>
      <c r="AE29" s="21"/>
      <c r="AF29" s="21"/>
    </row>
    <row r="30" spans="1:32" ht="16" x14ac:dyDescent="0.2">
      <c r="A30" s="114"/>
      <c r="B30" s="104"/>
      <c r="C30" s="90" t="s">
        <v>122</v>
      </c>
      <c r="D30" s="99"/>
      <c r="E30" s="61"/>
      <c r="F30" s="61"/>
      <c r="G30" s="61"/>
      <c r="H30" s="61"/>
      <c r="I30" s="61"/>
      <c r="J30" s="61"/>
      <c r="K30" s="21"/>
      <c r="L30" s="27"/>
      <c r="M30" s="110"/>
      <c r="N30" s="70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>
        <f t="shared" si="6"/>
        <v>0</v>
      </c>
      <c r="Z30" s="21"/>
      <c r="AA30" s="21"/>
      <c r="AB30" s="21"/>
      <c r="AC30" s="21"/>
      <c r="AD30" s="21"/>
      <c r="AE30" s="21"/>
      <c r="AF30" s="21"/>
    </row>
    <row r="31" spans="1:32" ht="16" x14ac:dyDescent="0.2">
      <c r="A31" s="114"/>
      <c r="B31" s="104"/>
      <c r="C31" s="90" t="s">
        <v>134</v>
      </c>
      <c r="D31" s="99"/>
      <c r="E31" s="61"/>
      <c r="F31" s="61"/>
      <c r="G31" s="61"/>
      <c r="H31" s="61"/>
      <c r="I31" s="61"/>
      <c r="J31" s="61"/>
      <c r="K31" s="21"/>
      <c r="L31" s="27"/>
      <c r="M31" s="110"/>
      <c r="N31" s="70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>
        <f t="shared" si="6"/>
        <v>0</v>
      </c>
      <c r="Z31" s="21"/>
      <c r="AA31" s="21"/>
      <c r="AB31" s="21"/>
      <c r="AC31" s="21"/>
      <c r="AD31" s="21"/>
      <c r="AE31" s="21"/>
      <c r="AF31" s="21"/>
    </row>
    <row r="32" spans="1:32" ht="16" x14ac:dyDescent="0.2">
      <c r="A32" s="114"/>
      <c r="B32" s="104"/>
      <c r="C32" s="90" t="s">
        <v>129</v>
      </c>
      <c r="D32" s="99"/>
      <c r="E32" s="61"/>
      <c r="F32" s="61"/>
      <c r="G32" s="61"/>
      <c r="H32" s="61"/>
      <c r="I32" s="61"/>
      <c r="J32" s="61"/>
      <c r="K32" s="21"/>
      <c r="L32" s="27"/>
      <c r="M32" s="110"/>
      <c r="N32" s="70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>
        <f t="shared" si="6"/>
        <v>0</v>
      </c>
      <c r="Z32" s="21"/>
      <c r="AA32" s="21"/>
      <c r="AB32" s="21"/>
      <c r="AC32" s="21"/>
      <c r="AD32" s="21"/>
      <c r="AE32" s="21"/>
      <c r="AF32" s="21"/>
    </row>
    <row r="33" spans="1:32" ht="16" x14ac:dyDescent="0.2">
      <c r="A33" s="114"/>
      <c r="B33" s="104"/>
      <c r="C33" s="90" t="s">
        <v>121</v>
      </c>
      <c r="D33" s="99"/>
      <c r="E33" s="61"/>
      <c r="F33" s="61"/>
      <c r="G33" s="61"/>
      <c r="H33" s="61"/>
      <c r="I33" s="61"/>
      <c r="J33" s="61"/>
      <c r="K33" s="21"/>
      <c r="L33" s="27"/>
      <c r="M33" s="110"/>
      <c r="N33" s="70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>
        <f t="shared" si="6"/>
        <v>0</v>
      </c>
      <c r="Z33" s="21"/>
      <c r="AA33" s="21"/>
      <c r="AB33" s="21"/>
      <c r="AC33" s="21"/>
      <c r="AD33" s="21"/>
      <c r="AE33" s="21"/>
      <c r="AF33" s="21"/>
    </row>
    <row r="34" spans="1:32" ht="16" x14ac:dyDescent="0.2">
      <c r="A34" s="114"/>
      <c r="B34" s="104"/>
      <c r="C34" s="90" t="s">
        <v>124</v>
      </c>
      <c r="D34" s="99"/>
      <c r="E34" s="61"/>
      <c r="F34" s="61"/>
      <c r="G34" s="61"/>
      <c r="H34" s="61"/>
      <c r="I34" s="61"/>
      <c r="J34" s="61"/>
      <c r="K34" s="21"/>
      <c r="L34" s="27"/>
      <c r="M34" s="110"/>
      <c r="N34" s="70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>
        <f t="shared" si="6"/>
        <v>0</v>
      </c>
      <c r="Z34" s="21"/>
      <c r="AA34" s="21"/>
      <c r="AB34" s="21"/>
      <c r="AC34" s="21"/>
      <c r="AD34" s="21"/>
      <c r="AE34" s="21"/>
      <c r="AF34" s="21"/>
    </row>
    <row r="35" spans="1:32" ht="16" x14ac:dyDescent="0.2">
      <c r="A35" s="114"/>
      <c r="B35" s="104"/>
      <c r="C35" s="90" t="s">
        <v>123</v>
      </c>
      <c r="D35" s="99"/>
      <c r="E35" s="61"/>
      <c r="F35" s="61"/>
      <c r="G35" s="61"/>
      <c r="H35" s="61"/>
      <c r="I35" s="61"/>
      <c r="J35" s="61"/>
      <c r="K35" s="21"/>
      <c r="L35" s="27"/>
      <c r="M35" s="110"/>
      <c r="N35" s="70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>
        <f t="shared" si="6"/>
        <v>0</v>
      </c>
      <c r="Z35" s="21"/>
      <c r="AA35" s="21"/>
      <c r="AB35" s="21"/>
      <c r="AC35" s="21"/>
      <c r="AD35" s="21"/>
      <c r="AE35" s="21"/>
      <c r="AF35" s="21"/>
    </row>
    <row r="36" spans="1:32" ht="16" x14ac:dyDescent="0.2">
      <c r="A36" s="114"/>
      <c r="B36" s="104"/>
      <c r="C36" s="90" t="s">
        <v>127</v>
      </c>
      <c r="D36" s="99"/>
      <c r="E36" s="61"/>
      <c r="F36" s="61"/>
      <c r="G36" s="61"/>
      <c r="H36" s="61"/>
      <c r="I36" s="61"/>
      <c r="J36" s="61"/>
      <c r="K36" s="21"/>
      <c r="L36" s="27"/>
      <c r="M36" s="110"/>
      <c r="N36" s="23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>
        <f t="shared" si="6"/>
        <v>0</v>
      </c>
      <c r="Z36" s="21"/>
      <c r="AA36" s="21"/>
      <c r="AB36" s="21"/>
      <c r="AC36" s="21"/>
      <c r="AD36" s="21"/>
      <c r="AE36" s="21"/>
      <c r="AF36" s="21"/>
    </row>
    <row r="37" spans="1:32" ht="16" x14ac:dyDescent="0.2">
      <c r="A37" s="114"/>
      <c r="B37" s="105"/>
      <c r="C37" s="90" t="s">
        <v>128</v>
      </c>
      <c r="D37" s="100"/>
      <c r="E37" s="61"/>
      <c r="F37" s="61"/>
      <c r="G37" s="61"/>
      <c r="H37" s="61"/>
      <c r="I37" s="61"/>
      <c r="J37" s="61"/>
      <c r="K37" s="21"/>
      <c r="L37" s="27"/>
      <c r="M37" s="110"/>
      <c r="N37" s="23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>
        <f t="shared" si="6"/>
        <v>0</v>
      </c>
      <c r="Z37" s="21"/>
      <c r="AA37" s="21"/>
      <c r="AB37" s="21"/>
      <c r="AC37" s="21"/>
      <c r="AD37" s="21"/>
      <c r="AE37" s="21"/>
      <c r="AF37" s="21"/>
    </row>
    <row r="38" spans="1:32" ht="16" x14ac:dyDescent="0.2">
      <c r="A38" s="114"/>
      <c r="B38" s="106" t="s">
        <v>119</v>
      </c>
      <c r="C38" s="90" t="s">
        <v>130</v>
      </c>
      <c r="D38" s="106"/>
      <c r="E38" s="58">
        <v>1</v>
      </c>
      <c r="F38" s="58">
        <v>1</v>
      </c>
      <c r="G38" s="58">
        <v>1</v>
      </c>
      <c r="H38" s="58">
        <v>1</v>
      </c>
      <c r="I38" s="58">
        <f t="shared" ref="I38" si="17">MAX(1,E38:H38)</f>
        <v>1</v>
      </c>
      <c r="J38" s="58">
        <v>1</v>
      </c>
      <c r="K38" s="21">
        <f t="shared" si="12"/>
        <v>1</v>
      </c>
      <c r="L38" s="27">
        <f t="shared" ref="L38" si="18">VLOOKUP(K38,SLTS,2)</f>
        <v>1</v>
      </c>
      <c r="M38" s="110"/>
      <c r="N38" s="71"/>
      <c r="O38" s="58">
        <v>1</v>
      </c>
      <c r="P38" s="58">
        <v>1</v>
      </c>
      <c r="Q38" s="58">
        <v>1</v>
      </c>
      <c r="R38" s="58">
        <v>1</v>
      </c>
      <c r="S38" s="58">
        <f t="shared" ref="S38" si="19">MAX(1,O38:R38)</f>
        <v>1</v>
      </c>
      <c r="T38" s="58">
        <v>1</v>
      </c>
      <c r="U38" s="21">
        <f t="shared" ref="U38" si="20">INDEX(RiskMatrix,S38,T38)</f>
        <v>1</v>
      </c>
      <c r="V38" s="21"/>
      <c r="W38" s="21"/>
      <c r="X38" s="21"/>
      <c r="Y38" s="21">
        <f t="shared" si="6"/>
        <v>0</v>
      </c>
      <c r="Z38" s="58">
        <v>1</v>
      </c>
      <c r="AA38" s="58">
        <v>1</v>
      </c>
      <c r="AB38" s="58">
        <v>1</v>
      </c>
      <c r="AC38" s="58">
        <v>1</v>
      </c>
      <c r="AD38" s="58">
        <f t="shared" ref="AD38" si="21">MAX(1,Z38:AC38)</f>
        <v>1</v>
      </c>
      <c r="AE38" s="58">
        <v>1</v>
      </c>
      <c r="AF38" s="21">
        <f>INDEX(RiskMatrix,AD38,AE38)</f>
        <v>1</v>
      </c>
    </row>
    <row r="39" spans="1:32" ht="16" x14ac:dyDescent="0.2">
      <c r="A39" s="114"/>
      <c r="B39" s="107"/>
      <c r="C39" s="90" t="s">
        <v>131</v>
      </c>
      <c r="D39" s="99"/>
      <c r="E39" s="61"/>
      <c r="F39" s="61"/>
      <c r="G39" s="61"/>
      <c r="H39" s="61"/>
      <c r="I39" s="61"/>
      <c r="J39" s="61"/>
      <c r="K39" s="21"/>
      <c r="L39" s="27"/>
      <c r="M39" s="110"/>
      <c r="N39" s="7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>
        <f t="shared" si="6"/>
        <v>0</v>
      </c>
      <c r="Z39" s="21"/>
      <c r="AA39" s="21"/>
      <c r="AB39" s="21"/>
      <c r="AC39" s="21"/>
      <c r="AD39" s="21"/>
      <c r="AE39" s="21"/>
      <c r="AF39" s="21"/>
    </row>
    <row r="40" spans="1:32" ht="16" x14ac:dyDescent="0.2">
      <c r="A40" s="114"/>
      <c r="B40" s="107"/>
      <c r="C40" s="90" t="s">
        <v>138</v>
      </c>
      <c r="D40" s="99"/>
      <c r="E40" s="61"/>
      <c r="F40" s="61"/>
      <c r="G40" s="61"/>
      <c r="H40" s="61"/>
      <c r="I40" s="61"/>
      <c r="J40" s="61"/>
      <c r="K40" s="21"/>
      <c r="L40" s="27"/>
      <c r="M40" s="110"/>
      <c r="N40" s="7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>
        <f t="shared" si="6"/>
        <v>0</v>
      </c>
      <c r="Z40" s="21"/>
      <c r="AA40" s="21"/>
      <c r="AB40" s="21"/>
      <c r="AC40" s="21"/>
      <c r="AD40" s="21"/>
      <c r="AE40" s="21"/>
      <c r="AF40" s="21"/>
    </row>
    <row r="41" spans="1:32" x14ac:dyDescent="0.2">
      <c r="A41" s="114"/>
      <c r="B41" s="107"/>
      <c r="D41" s="99"/>
      <c r="E41" s="61"/>
      <c r="F41" s="61"/>
      <c r="G41" s="61"/>
      <c r="H41" s="61"/>
      <c r="I41" s="61"/>
      <c r="J41" s="61"/>
      <c r="K41" s="21"/>
      <c r="L41" s="27"/>
      <c r="M41" s="110"/>
      <c r="N41" s="7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>
        <f t="shared" si="6"/>
        <v>0</v>
      </c>
      <c r="Z41" s="21"/>
      <c r="AA41" s="21"/>
      <c r="AB41" s="21"/>
      <c r="AC41" s="21"/>
      <c r="AD41" s="21"/>
      <c r="AE41" s="21"/>
      <c r="AF41" s="21"/>
    </row>
    <row r="42" spans="1:32" x14ac:dyDescent="0.2">
      <c r="A42" s="114"/>
      <c r="B42" s="107"/>
      <c r="D42" s="99"/>
      <c r="E42" s="61"/>
      <c r="F42" s="61"/>
      <c r="G42" s="61"/>
      <c r="H42" s="61"/>
      <c r="I42" s="61"/>
      <c r="J42" s="61"/>
      <c r="K42" s="21"/>
      <c r="L42" s="27"/>
      <c r="M42" s="110"/>
      <c r="N42" s="7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>
        <f t="shared" si="6"/>
        <v>0</v>
      </c>
      <c r="Z42" s="21"/>
      <c r="AA42" s="21"/>
      <c r="AB42" s="21"/>
      <c r="AC42" s="21"/>
      <c r="AD42" s="21"/>
      <c r="AE42" s="21"/>
      <c r="AF42" s="21"/>
    </row>
    <row r="43" spans="1:32" x14ac:dyDescent="0.2">
      <c r="A43" s="114"/>
      <c r="B43" s="107"/>
      <c r="D43" s="99"/>
      <c r="E43" s="61"/>
      <c r="F43" s="61"/>
      <c r="G43" s="61"/>
      <c r="H43" s="61"/>
      <c r="I43" s="61"/>
      <c r="J43" s="61"/>
      <c r="K43" s="21"/>
      <c r="L43" s="27"/>
      <c r="M43" s="110"/>
      <c r="N43" s="7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>
        <f t="shared" si="6"/>
        <v>0</v>
      </c>
      <c r="Z43" s="21"/>
      <c r="AA43" s="21"/>
      <c r="AB43" s="21"/>
      <c r="AC43" s="21"/>
      <c r="AD43" s="21"/>
      <c r="AE43" s="21"/>
      <c r="AF43" s="21"/>
    </row>
    <row r="44" spans="1:32" x14ac:dyDescent="0.2">
      <c r="A44" s="114"/>
      <c r="B44" s="107"/>
      <c r="C44" s="65"/>
      <c r="D44" s="99"/>
      <c r="E44" s="61"/>
      <c r="F44" s="61"/>
      <c r="G44" s="61"/>
      <c r="H44" s="61"/>
      <c r="I44" s="61"/>
      <c r="J44" s="61"/>
      <c r="K44" s="21"/>
      <c r="L44" s="27"/>
      <c r="M44" s="110"/>
      <c r="N44" s="7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>
        <f t="shared" si="6"/>
        <v>0</v>
      </c>
      <c r="Z44" s="21"/>
      <c r="AA44" s="21"/>
      <c r="AB44" s="21"/>
      <c r="AC44" s="21"/>
      <c r="AD44" s="21"/>
      <c r="AE44" s="21"/>
      <c r="AF44" s="21"/>
    </row>
    <row r="45" spans="1:32" x14ac:dyDescent="0.2">
      <c r="A45" s="114"/>
      <c r="B45" s="107"/>
      <c r="C45" s="65"/>
      <c r="D45" s="99"/>
      <c r="E45" s="61"/>
      <c r="F45" s="61"/>
      <c r="G45" s="61"/>
      <c r="H45" s="61"/>
      <c r="I45" s="61"/>
      <c r="J45" s="61"/>
      <c r="K45" s="21"/>
      <c r="L45" s="27"/>
      <c r="M45" s="110"/>
      <c r="N45" s="7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>
        <f t="shared" si="6"/>
        <v>0</v>
      </c>
      <c r="Z45" s="21"/>
      <c r="AA45" s="21"/>
      <c r="AB45" s="21"/>
      <c r="AC45" s="21"/>
      <c r="AD45" s="21"/>
      <c r="AE45" s="21"/>
      <c r="AF45" s="21"/>
    </row>
    <row r="46" spans="1:32" x14ac:dyDescent="0.2">
      <c r="A46" s="114"/>
      <c r="B46" s="107"/>
      <c r="C46" s="60"/>
      <c r="D46" s="99"/>
      <c r="E46" s="61"/>
      <c r="F46" s="61"/>
      <c r="G46" s="61"/>
      <c r="H46" s="61"/>
      <c r="I46" s="61"/>
      <c r="J46" s="61"/>
      <c r="K46" s="21"/>
      <c r="L46" s="27"/>
      <c r="M46" s="110"/>
      <c r="N46" s="7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>
        <f t="shared" si="6"/>
        <v>0</v>
      </c>
      <c r="Z46" s="21"/>
      <c r="AA46" s="21"/>
      <c r="AB46" s="21"/>
      <c r="AC46" s="21"/>
      <c r="AD46" s="21"/>
      <c r="AE46" s="21"/>
      <c r="AF46" s="21"/>
    </row>
    <row r="47" spans="1:32" x14ac:dyDescent="0.2">
      <c r="A47" s="114"/>
      <c r="B47" s="107"/>
      <c r="C47" s="60"/>
      <c r="D47" s="99"/>
      <c r="E47" s="61"/>
      <c r="F47" s="61"/>
      <c r="G47" s="61"/>
      <c r="H47" s="61"/>
      <c r="I47" s="61"/>
      <c r="J47" s="61"/>
      <c r="K47" s="21"/>
      <c r="L47" s="27"/>
      <c r="M47" s="110"/>
      <c r="N47" s="7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>
        <f t="shared" si="6"/>
        <v>0</v>
      </c>
      <c r="Z47" s="21"/>
      <c r="AA47" s="21"/>
      <c r="AB47" s="21"/>
      <c r="AC47" s="21"/>
      <c r="AD47" s="21"/>
      <c r="AE47" s="21"/>
      <c r="AF47" s="21"/>
    </row>
    <row r="48" spans="1:32" x14ac:dyDescent="0.2">
      <c r="A48" s="114"/>
      <c r="B48" s="107"/>
      <c r="C48" s="65"/>
      <c r="D48" s="99"/>
      <c r="E48" s="61"/>
      <c r="F48" s="61"/>
      <c r="G48" s="61"/>
      <c r="H48" s="61"/>
      <c r="I48" s="61"/>
      <c r="J48" s="61"/>
      <c r="K48" s="21"/>
      <c r="L48" s="27"/>
      <c r="M48" s="110"/>
      <c r="N48" s="23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>
        <f t="shared" si="6"/>
        <v>0</v>
      </c>
      <c r="Z48" s="21"/>
      <c r="AA48" s="21"/>
      <c r="AB48" s="21"/>
      <c r="AC48" s="21"/>
      <c r="AD48" s="21"/>
      <c r="AE48" s="21"/>
      <c r="AF48" s="21"/>
    </row>
    <row r="49" spans="1:32" x14ac:dyDescent="0.2">
      <c r="A49" s="114"/>
      <c r="B49" s="107"/>
      <c r="C49" s="65"/>
      <c r="D49" s="99"/>
      <c r="E49" s="61"/>
      <c r="F49" s="61"/>
      <c r="G49" s="61"/>
      <c r="H49" s="61"/>
      <c r="I49" s="61"/>
      <c r="J49" s="61"/>
      <c r="K49" s="21"/>
      <c r="L49" s="27"/>
      <c r="M49" s="110"/>
      <c r="N49" s="23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>
        <f t="shared" si="6"/>
        <v>0</v>
      </c>
      <c r="Z49" s="21"/>
      <c r="AA49" s="21"/>
      <c r="AB49" s="21"/>
      <c r="AC49" s="21"/>
      <c r="AD49" s="21"/>
      <c r="AE49" s="21"/>
      <c r="AF49" s="21"/>
    </row>
    <row r="50" spans="1:32" x14ac:dyDescent="0.2">
      <c r="A50" s="114"/>
      <c r="B50" s="107"/>
      <c r="C50" s="60"/>
      <c r="D50" s="99"/>
      <c r="E50" s="61"/>
      <c r="F50" s="61"/>
      <c r="G50" s="61"/>
      <c r="H50" s="61"/>
      <c r="I50" s="61"/>
      <c r="J50" s="61"/>
      <c r="K50" s="21"/>
      <c r="L50" s="27"/>
      <c r="M50" s="110"/>
      <c r="N50" s="23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>
        <f t="shared" si="6"/>
        <v>0</v>
      </c>
      <c r="Z50" s="21"/>
      <c r="AA50" s="21"/>
      <c r="AB50" s="21"/>
      <c r="AC50" s="21"/>
      <c r="AD50" s="21"/>
      <c r="AE50" s="21"/>
      <c r="AF50" s="21"/>
    </row>
    <row r="51" spans="1:32" x14ac:dyDescent="0.2">
      <c r="A51" s="114"/>
      <c r="B51" s="108"/>
      <c r="D51" s="100"/>
      <c r="E51" s="61"/>
      <c r="F51" s="61"/>
      <c r="G51" s="61"/>
      <c r="H51" s="61"/>
      <c r="I51" s="61"/>
      <c r="J51" s="61"/>
      <c r="K51" s="21"/>
      <c r="L51" s="27"/>
      <c r="M51" s="110"/>
      <c r="N51" s="23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>
        <f t="shared" si="6"/>
        <v>0</v>
      </c>
      <c r="Z51" s="21"/>
      <c r="AA51" s="21"/>
      <c r="AB51" s="21"/>
      <c r="AC51" s="21"/>
      <c r="AD51" s="21"/>
      <c r="AE51" s="21"/>
      <c r="AF51" s="21"/>
    </row>
    <row r="52" spans="1:32" x14ac:dyDescent="0.2">
      <c r="A52" s="114"/>
      <c r="B52" s="117"/>
      <c r="C52" s="60"/>
      <c r="D52" s="117"/>
      <c r="E52" s="66">
        <v>1</v>
      </c>
      <c r="F52" s="66">
        <v>1</v>
      </c>
      <c r="G52" s="66">
        <v>1</v>
      </c>
      <c r="H52" s="66">
        <v>1</v>
      </c>
      <c r="I52" s="66">
        <f t="shared" ref="I52" si="22">MAX(1,E52:H52)</f>
        <v>1</v>
      </c>
      <c r="J52" s="66">
        <v>1</v>
      </c>
      <c r="K52" s="21">
        <f t="shared" ref="K52:K63" si="23">INDEX(RiskMatrix,I52,J52)</f>
        <v>1</v>
      </c>
      <c r="L52" s="27">
        <f t="shared" ref="L52:L63" si="24">VLOOKUP(K52,SLTS,2)</f>
        <v>1</v>
      </c>
      <c r="M52" s="110"/>
      <c r="N52" s="72"/>
      <c r="O52" s="66">
        <v>1</v>
      </c>
      <c r="P52" s="66">
        <v>1</v>
      </c>
      <c r="Q52" s="66">
        <v>1</v>
      </c>
      <c r="R52" s="66">
        <v>1</v>
      </c>
      <c r="S52" s="66">
        <f t="shared" ref="S52" si="25">MAX(1,O52:R52)</f>
        <v>1</v>
      </c>
      <c r="T52" s="66">
        <v>1</v>
      </c>
      <c r="U52" s="21">
        <f t="shared" ref="U52" si="26">INDEX(RiskMatrix,S52,T52)</f>
        <v>1</v>
      </c>
      <c r="V52" s="21"/>
      <c r="W52" s="21"/>
      <c r="X52" s="21"/>
      <c r="Y52" s="21">
        <f t="shared" si="6"/>
        <v>0</v>
      </c>
      <c r="Z52" s="66">
        <v>1</v>
      </c>
      <c r="AA52" s="66">
        <v>1</v>
      </c>
      <c r="AB52" s="66">
        <v>1</v>
      </c>
      <c r="AC52" s="66">
        <v>1</v>
      </c>
      <c r="AD52" s="66">
        <f t="shared" ref="AD52" si="27">MAX(1,Z52:AC52)</f>
        <v>1</v>
      </c>
      <c r="AE52" s="66">
        <v>1</v>
      </c>
      <c r="AF52" s="21">
        <f>INDEX(RiskMatrix,I52,AE52)</f>
        <v>1</v>
      </c>
    </row>
    <row r="53" spans="1:32" x14ac:dyDescent="0.2">
      <c r="A53" s="114"/>
      <c r="B53" s="118"/>
      <c r="C53" s="60"/>
      <c r="D53" s="118"/>
      <c r="E53" s="61"/>
      <c r="F53" s="61"/>
      <c r="G53" s="61"/>
      <c r="H53" s="61"/>
      <c r="I53" s="61"/>
      <c r="J53" s="61"/>
      <c r="K53" s="21"/>
      <c r="L53" s="27"/>
      <c r="M53" s="110"/>
      <c r="N53" s="72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>
        <f t="shared" si="6"/>
        <v>0</v>
      </c>
      <c r="Z53" s="21"/>
      <c r="AA53" s="21"/>
      <c r="AB53" s="21"/>
      <c r="AC53" s="21"/>
      <c r="AD53" s="21"/>
      <c r="AE53" s="21"/>
      <c r="AF53" s="21"/>
    </row>
    <row r="54" spans="1:32" x14ac:dyDescent="0.2">
      <c r="A54" s="114"/>
      <c r="B54" s="118"/>
      <c r="C54" s="60"/>
      <c r="D54" s="118"/>
      <c r="E54" s="61"/>
      <c r="F54" s="61"/>
      <c r="G54" s="61"/>
      <c r="H54" s="61"/>
      <c r="I54" s="61"/>
      <c r="J54" s="61"/>
      <c r="K54" s="21"/>
      <c r="L54" s="27"/>
      <c r="M54" s="110"/>
      <c r="N54" s="72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>
        <f t="shared" si="6"/>
        <v>0</v>
      </c>
      <c r="Z54" s="21"/>
      <c r="AA54" s="21"/>
      <c r="AB54" s="21"/>
      <c r="AC54" s="21"/>
      <c r="AD54" s="21"/>
      <c r="AE54" s="21"/>
      <c r="AF54" s="21"/>
    </row>
    <row r="55" spans="1:32" x14ac:dyDescent="0.2">
      <c r="A55" s="114"/>
      <c r="B55" s="118"/>
      <c r="C55" s="60"/>
      <c r="D55" s="118"/>
      <c r="E55" s="61"/>
      <c r="F55" s="61"/>
      <c r="G55" s="61"/>
      <c r="H55" s="61"/>
      <c r="I55" s="61"/>
      <c r="J55" s="61"/>
      <c r="K55" s="21"/>
      <c r="L55" s="27"/>
      <c r="M55" s="110"/>
      <c r="N55" s="72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>
        <f t="shared" si="6"/>
        <v>0</v>
      </c>
      <c r="Z55" s="21"/>
      <c r="AA55" s="21"/>
      <c r="AB55" s="21"/>
      <c r="AC55" s="21"/>
      <c r="AD55" s="21"/>
      <c r="AE55" s="21"/>
      <c r="AF55" s="21"/>
    </row>
    <row r="56" spans="1:32" x14ac:dyDescent="0.2">
      <c r="A56" s="114"/>
      <c r="B56" s="118"/>
      <c r="C56" s="60"/>
      <c r="D56" s="118"/>
      <c r="E56" s="61"/>
      <c r="F56" s="61"/>
      <c r="G56" s="61"/>
      <c r="H56" s="61"/>
      <c r="I56" s="61"/>
      <c r="J56" s="61"/>
      <c r="K56" s="21"/>
      <c r="L56" s="27"/>
      <c r="M56" s="110"/>
      <c r="N56" s="72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>
        <f t="shared" si="6"/>
        <v>0</v>
      </c>
      <c r="Z56" s="21"/>
      <c r="AA56" s="21"/>
      <c r="AB56" s="21"/>
      <c r="AC56" s="21"/>
      <c r="AD56" s="21"/>
      <c r="AE56" s="21"/>
      <c r="AF56" s="21"/>
    </row>
    <row r="57" spans="1:32" x14ac:dyDescent="0.2">
      <c r="A57" s="115"/>
      <c r="B57" s="118"/>
      <c r="C57" s="60"/>
      <c r="D57" s="118"/>
      <c r="E57" s="61"/>
      <c r="F57" s="61"/>
      <c r="G57" s="61"/>
      <c r="H57" s="61"/>
      <c r="I57" s="61"/>
      <c r="J57" s="61"/>
      <c r="K57" s="21"/>
      <c r="L57" s="27"/>
      <c r="M57" s="111"/>
      <c r="N57" s="72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>
        <f t="shared" si="6"/>
        <v>0</v>
      </c>
      <c r="Z57" s="21"/>
      <c r="AA57" s="21"/>
      <c r="AB57" s="21"/>
      <c r="AC57" s="21"/>
      <c r="AD57" s="21"/>
      <c r="AE57" s="21"/>
      <c r="AF57" s="21"/>
    </row>
    <row r="58" spans="1:32" x14ac:dyDescent="0.2">
      <c r="A58" s="115"/>
      <c r="B58" s="118"/>
      <c r="C58" s="60"/>
      <c r="D58" s="118"/>
      <c r="E58" s="61"/>
      <c r="F58" s="61"/>
      <c r="G58" s="61"/>
      <c r="H58" s="61"/>
      <c r="I58" s="61"/>
      <c r="J58" s="61"/>
      <c r="K58" s="21"/>
      <c r="L58" s="27"/>
      <c r="M58" s="111"/>
      <c r="N58" s="72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>
        <f t="shared" si="6"/>
        <v>0</v>
      </c>
      <c r="Z58" s="21"/>
      <c r="AA58" s="21"/>
      <c r="AB58" s="21"/>
      <c r="AC58" s="21"/>
      <c r="AD58" s="21"/>
      <c r="AE58" s="21"/>
      <c r="AF58" s="21"/>
    </row>
    <row r="59" spans="1:32" x14ac:dyDescent="0.2">
      <c r="A59" s="115"/>
      <c r="B59" s="118"/>
      <c r="C59" s="60"/>
      <c r="D59" s="118"/>
      <c r="E59" s="61"/>
      <c r="F59" s="61"/>
      <c r="G59" s="61"/>
      <c r="H59" s="61"/>
      <c r="I59" s="61"/>
      <c r="J59" s="61"/>
      <c r="K59" s="21"/>
      <c r="L59" s="27"/>
      <c r="M59" s="111"/>
      <c r="N59" s="72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>
        <f t="shared" si="6"/>
        <v>0</v>
      </c>
      <c r="Z59" s="21"/>
      <c r="AA59" s="21"/>
      <c r="AB59" s="21"/>
      <c r="AC59" s="21"/>
      <c r="AD59" s="21"/>
      <c r="AE59" s="21"/>
      <c r="AF59" s="21"/>
    </row>
    <row r="60" spans="1:32" x14ac:dyDescent="0.2">
      <c r="A60" s="115"/>
      <c r="B60" s="118"/>
      <c r="C60" s="60"/>
      <c r="D60" s="118"/>
      <c r="E60" s="61"/>
      <c r="F60" s="61"/>
      <c r="G60" s="61"/>
      <c r="H60" s="61"/>
      <c r="I60" s="61"/>
      <c r="J60" s="61"/>
      <c r="K60" s="21"/>
      <c r="L60" s="27"/>
      <c r="M60" s="111"/>
      <c r="N60" s="72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>
        <f t="shared" si="6"/>
        <v>0</v>
      </c>
      <c r="Z60" s="21"/>
      <c r="AA60" s="21"/>
      <c r="AB60" s="21"/>
      <c r="AC60" s="21"/>
      <c r="AD60" s="21"/>
      <c r="AE60" s="21"/>
      <c r="AF60" s="21"/>
    </row>
    <row r="61" spans="1:32" x14ac:dyDescent="0.2">
      <c r="A61" s="115"/>
      <c r="B61" s="118"/>
      <c r="C61" s="60"/>
      <c r="D61" s="118"/>
      <c r="E61" s="61"/>
      <c r="F61" s="61"/>
      <c r="G61" s="61"/>
      <c r="H61" s="61"/>
      <c r="I61" s="61"/>
      <c r="J61" s="61"/>
      <c r="K61" s="21"/>
      <c r="L61" s="27"/>
      <c r="M61" s="111"/>
      <c r="N61" s="23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>
        <f t="shared" si="6"/>
        <v>0</v>
      </c>
      <c r="Z61" s="21"/>
      <c r="AA61" s="21"/>
      <c r="AB61" s="21"/>
      <c r="AC61" s="21"/>
      <c r="AD61" s="21"/>
      <c r="AE61" s="21"/>
      <c r="AF61" s="21"/>
    </row>
    <row r="62" spans="1:32" x14ac:dyDescent="0.2">
      <c r="A62" s="115"/>
      <c r="B62" s="119"/>
      <c r="C62" s="60"/>
      <c r="D62" s="119"/>
      <c r="E62" s="61"/>
      <c r="F62" s="61"/>
      <c r="G62" s="61"/>
      <c r="H62" s="61"/>
      <c r="I62" s="61"/>
      <c r="J62" s="61"/>
      <c r="K62" s="21"/>
      <c r="L62" s="27"/>
      <c r="M62" s="111"/>
      <c r="N62" s="23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>
        <f t="shared" si="6"/>
        <v>0</v>
      </c>
      <c r="Z62" s="21"/>
      <c r="AA62" s="21"/>
      <c r="AB62" s="21"/>
      <c r="AC62" s="21"/>
      <c r="AD62" s="21"/>
      <c r="AE62" s="21"/>
      <c r="AF62" s="21"/>
    </row>
    <row r="63" spans="1:32" ht="14.5" customHeight="1" x14ac:dyDescent="0.2">
      <c r="A63" s="115"/>
      <c r="B63" s="120"/>
      <c r="C63" s="60"/>
      <c r="D63" s="67"/>
      <c r="E63" s="67">
        <v>1</v>
      </c>
      <c r="F63" s="67">
        <v>1</v>
      </c>
      <c r="G63" s="67">
        <v>1</v>
      </c>
      <c r="H63" s="67">
        <v>1</v>
      </c>
      <c r="I63" s="67">
        <f t="shared" ref="I63" si="28">MAX(1,E63:H63)</f>
        <v>1</v>
      </c>
      <c r="J63" s="67">
        <v>1</v>
      </c>
      <c r="K63" s="21">
        <f t="shared" si="23"/>
        <v>1</v>
      </c>
      <c r="L63" s="27">
        <f t="shared" si="24"/>
        <v>1</v>
      </c>
      <c r="M63" s="111"/>
      <c r="N63" s="86"/>
      <c r="O63" s="68">
        <v>1</v>
      </c>
      <c r="P63" s="68">
        <v>1</v>
      </c>
      <c r="Q63" s="68">
        <v>1</v>
      </c>
      <c r="R63" s="68">
        <v>1</v>
      </c>
      <c r="S63" s="68">
        <f t="shared" ref="S63" si="29">MAX(1,O63:R63)</f>
        <v>1</v>
      </c>
      <c r="T63" s="68">
        <v>1</v>
      </c>
      <c r="U63" s="21">
        <f t="shared" ref="U63" si="30">INDEX(RiskMatrix,S63,T63)</f>
        <v>1</v>
      </c>
      <c r="V63" s="21"/>
      <c r="W63" s="21"/>
      <c r="X63" s="21"/>
      <c r="Y63" s="21">
        <f t="shared" si="6"/>
        <v>0</v>
      </c>
      <c r="Z63" s="68">
        <v>1</v>
      </c>
      <c r="AA63" s="68">
        <v>1</v>
      </c>
      <c r="AB63" s="68">
        <v>1</v>
      </c>
      <c r="AC63" s="68">
        <v>1</v>
      </c>
      <c r="AD63" s="68">
        <f t="shared" ref="AD63" si="31">MAX(1,Z63:AC63)</f>
        <v>1</v>
      </c>
      <c r="AE63" s="68">
        <v>1</v>
      </c>
      <c r="AF63" s="21">
        <f>INDEX(RiskMatrix,AD63,AE63)</f>
        <v>1</v>
      </c>
    </row>
    <row r="64" spans="1:32" x14ac:dyDescent="0.2">
      <c r="A64" s="115"/>
      <c r="B64" s="121"/>
      <c r="C64" s="60"/>
      <c r="D64" s="68"/>
      <c r="E64" s="61"/>
      <c r="F64" s="61"/>
      <c r="G64" s="61"/>
      <c r="H64" s="61"/>
      <c r="I64" s="61"/>
      <c r="J64" s="61"/>
      <c r="K64" s="21"/>
      <c r="L64" s="27"/>
      <c r="M64" s="111"/>
      <c r="N64" s="68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>
        <f t="shared" si="6"/>
        <v>0</v>
      </c>
      <c r="Z64" s="21"/>
      <c r="AA64" s="21"/>
      <c r="AB64" s="21"/>
      <c r="AC64" s="21"/>
      <c r="AD64" s="21"/>
      <c r="AE64" s="21"/>
      <c r="AF64" s="21"/>
    </row>
    <row r="65" spans="1:32" x14ac:dyDescent="0.2">
      <c r="A65" s="115"/>
      <c r="B65" s="121"/>
      <c r="C65" s="60"/>
      <c r="D65" s="68"/>
      <c r="E65" s="61"/>
      <c r="F65" s="61"/>
      <c r="G65" s="61"/>
      <c r="H65" s="61"/>
      <c r="I65" s="61"/>
      <c r="J65" s="61"/>
      <c r="K65" s="21"/>
      <c r="L65" s="27"/>
      <c r="M65" s="111"/>
      <c r="N65" s="86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>
        <f t="shared" si="6"/>
        <v>0</v>
      </c>
      <c r="Z65" s="21"/>
      <c r="AA65" s="21"/>
      <c r="AB65" s="21"/>
      <c r="AC65" s="21"/>
      <c r="AD65" s="21"/>
      <c r="AE65" s="21"/>
      <c r="AF65" s="21"/>
    </row>
    <row r="66" spans="1:32" x14ac:dyDescent="0.2">
      <c r="A66" s="115"/>
      <c r="B66" s="121"/>
      <c r="C66" s="60"/>
      <c r="D66" s="68"/>
      <c r="E66" s="61"/>
      <c r="F66" s="61"/>
      <c r="G66" s="61"/>
      <c r="H66" s="61"/>
      <c r="I66" s="61"/>
      <c r="J66" s="61"/>
      <c r="K66" s="21"/>
      <c r="L66" s="27"/>
      <c r="M66" s="111"/>
      <c r="N66" s="86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>
        <f t="shared" si="6"/>
        <v>0</v>
      </c>
      <c r="Z66" s="21"/>
      <c r="AA66" s="21"/>
      <c r="AB66" s="21"/>
      <c r="AC66" s="21"/>
      <c r="AD66" s="21"/>
      <c r="AE66" s="21"/>
      <c r="AF66" s="21"/>
    </row>
    <row r="67" spans="1:32" x14ac:dyDescent="0.2">
      <c r="A67" s="115"/>
      <c r="B67" s="121"/>
      <c r="C67" s="60"/>
      <c r="D67" s="68"/>
      <c r="E67" s="61"/>
      <c r="F67" s="61"/>
      <c r="G67" s="61"/>
      <c r="H67" s="61"/>
      <c r="I67" s="61"/>
      <c r="J67" s="61"/>
      <c r="K67" s="21"/>
      <c r="L67" s="27"/>
      <c r="M67" s="111"/>
      <c r="N67" s="86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>
        <f t="shared" si="6"/>
        <v>0</v>
      </c>
      <c r="Z67" s="21"/>
      <c r="AA67" s="21"/>
      <c r="AB67" s="21"/>
      <c r="AC67" s="21"/>
      <c r="AD67" s="21"/>
      <c r="AE67" s="21"/>
      <c r="AF67" s="21"/>
    </row>
    <row r="68" spans="1:32" x14ac:dyDescent="0.2">
      <c r="A68" s="115"/>
      <c r="B68" s="121"/>
      <c r="C68" s="60"/>
      <c r="D68" s="68"/>
      <c r="E68" s="61"/>
      <c r="F68" s="61"/>
      <c r="G68" s="61"/>
      <c r="H68" s="61"/>
      <c r="I68" s="61"/>
      <c r="J68" s="61"/>
      <c r="K68" s="21"/>
      <c r="L68" s="27"/>
      <c r="M68" s="111"/>
      <c r="N68" s="86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>
        <f t="shared" ref="Y68:Y115" si="32">X68*W68</f>
        <v>0</v>
      </c>
      <c r="Z68" s="21"/>
      <c r="AA68" s="21"/>
      <c r="AB68" s="21"/>
      <c r="AC68" s="21"/>
      <c r="AD68" s="21"/>
      <c r="AE68" s="21"/>
      <c r="AF68" s="21"/>
    </row>
    <row r="69" spans="1:32" x14ac:dyDescent="0.2">
      <c r="A69" s="115"/>
      <c r="B69" s="121"/>
      <c r="C69" s="60"/>
      <c r="D69" s="68"/>
      <c r="E69" s="61"/>
      <c r="F69" s="61"/>
      <c r="G69" s="61"/>
      <c r="H69" s="61"/>
      <c r="I69" s="61"/>
      <c r="J69" s="61"/>
      <c r="K69" s="21"/>
      <c r="L69" s="27"/>
      <c r="M69" s="111"/>
      <c r="N69" s="86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>
        <f t="shared" si="32"/>
        <v>0</v>
      </c>
      <c r="Z69" s="21"/>
      <c r="AA69" s="21"/>
      <c r="AB69" s="21"/>
      <c r="AC69" s="21"/>
      <c r="AD69" s="21"/>
      <c r="AE69" s="21"/>
      <c r="AF69" s="21"/>
    </row>
    <row r="70" spans="1:32" x14ac:dyDescent="0.2">
      <c r="A70" s="115"/>
      <c r="B70" s="121"/>
      <c r="C70" s="60"/>
      <c r="D70" s="68"/>
      <c r="E70" s="61"/>
      <c r="F70" s="61"/>
      <c r="G70" s="61"/>
      <c r="H70" s="61"/>
      <c r="I70" s="61"/>
      <c r="J70" s="61"/>
      <c r="K70" s="21"/>
      <c r="L70" s="27"/>
      <c r="M70" s="111"/>
      <c r="N70" s="86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>
        <f t="shared" si="32"/>
        <v>0</v>
      </c>
      <c r="Z70" s="21"/>
      <c r="AA70" s="21"/>
      <c r="AB70" s="21"/>
      <c r="AC70" s="21"/>
      <c r="AD70" s="21"/>
      <c r="AE70" s="21"/>
      <c r="AF70" s="21"/>
    </row>
    <row r="71" spans="1:32" x14ac:dyDescent="0.2">
      <c r="A71" s="115"/>
      <c r="B71" s="121"/>
      <c r="C71" s="60"/>
      <c r="D71" s="68"/>
      <c r="E71" s="61"/>
      <c r="F71" s="61"/>
      <c r="G71" s="61"/>
      <c r="H71" s="61"/>
      <c r="I71" s="61"/>
      <c r="J71" s="61"/>
      <c r="K71" s="21"/>
      <c r="L71" s="27"/>
      <c r="M71" s="111"/>
      <c r="N71" s="86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>
        <f t="shared" si="32"/>
        <v>0</v>
      </c>
      <c r="Z71" s="21"/>
      <c r="AA71" s="21"/>
      <c r="AB71" s="21"/>
      <c r="AC71" s="21"/>
      <c r="AD71" s="21"/>
      <c r="AE71" s="21"/>
      <c r="AF71" s="21"/>
    </row>
    <row r="72" spans="1:32" x14ac:dyDescent="0.2">
      <c r="A72" s="115"/>
      <c r="B72" s="121"/>
      <c r="C72" s="60"/>
      <c r="D72" s="68"/>
      <c r="E72" s="61"/>
      <c r="F72" s="61"/>
      <c r="G72" s="61"/>
      <c r="H72" s="61"/>
      <c r="I72" s="61"/>
      <c r="J72" s="61"/>
      <c r="K72" s="21"/>
      <c r="L72" s="27"/>
      <c r="M72" s="111"/>
      <c r="N72" s="86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>
        <f t="shared" si="32"/>
        <v>0</v>
      </c>
      <c r="Z72" s="21"/>
      <c r="AA72" s="21"/>
      <c r="AB72" s="21"/>
      <c r="AC72" s="21"/>
      <c r="AD72" s="21"/>
      <c r="AE72" s="21"/>
      <c r="AF72" s="21"/>
    </row>
    <row r="73" spans="1:32" x14ac:dyDescent="0.2">
      <c r="A73" s="115"/>
      <c r="B73" s="121"/>
      <c r="C73" s="60"/>
      <c r="D73" s="68"/>
      <c r="E73" s="61"/>
      <c r="F73" s="61"/>
      <c r="G73" s="61"/>
      <c r="H73" s="61"/>
      <c r="I73" s="61"/>
      <c r="J73" s="61"/>
      <c r="K73" s="21"/>
      <c r="L73" s="27"/>
      <c r="M73" s="111"/>
      <c r="N73" s="86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>
        <f t="shared" si="32"/>
        <v>0</v>
      </c>
      <c r="Z73" s="21"/>
      <c r="AA73" s="21"/>
      <c r="AB73" s="21"/>
      <c r="AC73" s="21"/>
      <c r="AD73" s="21"/>
      <c r="AE73" s="21"/>
      <c r="AF73" s="21"/>
    </row>
    <row r="74" spans="1:32" x14ac:dyDescent="0.2">
      <c r="A74" s="115"/>
      <c r="B74" s="121"/>
      <c r="C74" s="60"/>
      <c r="D74" s="68"/>
      <c r="E74" s="61"/>
      <c r="F74" s="61"/>
      <c r="G74" s="61"/>
      <c r="H74" s="61"/>
      <c r="I74" s="61"/>
      <c r="J74" s="61"/>
      <c r="K74" s="21"/>
      <c r="L74" s="27"/>
      <c r="M74" s="111"/>
      <c r="N74" s="86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>
        <f t="shared" si="32"/>
        <v>0</v>
      </c>
      <c r="Z74" s="21"/>
      <c r="AA74" s="21"/>
      <c r="AB74" s="21"/>
      <c r="AC74" s="21"/>
      <c r="AD74" s="21"/>
      <c r="AE74" s="21"/>
      <c r="AF74" s="21"/>
    </row>
    <row r="75" spans="1:32" x14ac:dyDescent="0.2">
      <c r="A75" s="115"/>
      <c r="B75" s="122"/>
      <c r="C75" s="60"/>
      <c r="D75" s="69"/>
      <c r="E75" s="61"/>
      <c r="F75" s="61"/>
      <c r="G75" s="61"/>
      <c r="H75" s="61"/>
      <c r="I75" s="61"/>
      <c r="J75" s="61"/>
      <c r="K75" s="21"/>
      <c r="L75" s="27"/>
      <c r="M75" s="111"/>
      <c r="N75" s="86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>
        <f t="shared" si="32"/>
        <v>0</v>
      </c>
      <c r="Z75" s="21"/>
      <c r="AA75" s="21"/>
      <c r="AB75" s="21"/>
      <c r="AC75" s="21"/>
      <c r="AD75" s="21"/>
      <c r="AE75" s="21"/>
      <c r="AF75" s="21"/>
    </row>
    <row r="76" spans="1:32" x14ac:dyDescent="0.2">
      <c r="A76" s="115"/>
      <c r="B76" s="98"/>
      <c r="C76" s="60"/>
      <c r="D76" s="125"/>
      <c r="E76" s="61"/>
      <c r="F76" s="61"/>
      <c r="G76" s="61"/>
      <c r="H76" s="61"/>
      <c r="I76" s="61"/>
      <c r="J76" s="61"/>
      <c r="K76" s="21"/>
      <c r="L76" s="27"/>
      <c r="M76" s="111"/>
      <c r="N76" s="23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>
        <f t="shared" si="32"/>
        <v>0</v>
      </c>
      <c r="Z76" s="21"/>
      <c r="AA76" s="21"/>
      <c r="AB76" s="21"/>
      <c r="AC76" s="21"/>
      <c r="AD76" s="21"/>
      <c r="AE76" s="21"/>
      <c r="AF76" s="21"/>
    </row>
    <row r="77" spans="1:32" x14ac:dyDescent="0.2">
      <c r="A77" s="115"/>
      <c r="B77" s="99"/>
      <c r="C77" s="60"/>
      <c r="D77" s="99"/>
      <c r="E77" s="61"/>
      <c r="F77" s="61"/>
      <c r="G77" s="61"/>
      <c r="H77" s="61"/>
      <c r="I77" s="61"/>
      <c r="J77" s="61"/>
      <c r="K77" s="21"/>
      <c r="L77" s="27"/>
      <c r="M77" s="111"/>
      <c r="N77" s="23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>
        <f t="shared" si="32"/>
        <v>0</v>
      </c>
      <c r="Z77" s="21"/>
      <c r="AA77" s="21"/>
      <c r="AB77" s="21"/>
      <c r="AC77" s="21"/>
      <c r="AD77" s="21"/>
      <c r="AE77" s="21"/>
      <c r="AF77" s="21"/>
    </row>
    <row r="78" spans="1:32" x14ac:dyDescent="0.2">
      <c r="A78" s="115"/>
      <c r="B78" s="99"/>
      <c r="C78" s="60"/>
      <c r="D78" s="99"/>
      <c r="E78" s="61"/>
      <c r="F78" s="61"/>
      <c r="G78" s="61"/>
      <c r="H78" s="61"/>
      <c r="I78" s="61"/>
      <c r="J78" s="61"/>
      <c r="K78" s="21"/>
      <c r="L78" s="27"/>
      <c r="M78" s="111"/>
      <c r="N78" s="23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>
        <f t="shared" si="32"/>
        <v>0</v>
      </c>
      <c r="Z78" s="21"/>
      <c r="AA78" s="21"/>
      <c r="AB78" s="21"/>
      <c r="AC78" s="21"/>
      <c r="AD78" s="21"/>
      <c r="AE78" s="21"/>
      <c r="AF78" s="21"/>
    </row>
    <row r="79" spans="1:32" x14ac:dyDescent="0.2">
      <c r="A79" s="115"/>
      <c r="B79" s="99"/>
      <c r="C79" s="60"/>
      <c r="D79" s="99"/>
      <c r="E79" s="61"/>
      <c r="F79" s="61"/>
      <c r="G79" s="61"/>
      <c r="H79" s="61"/>
      <c r="I79" s="61"/>
      <c r="J79" s="61"/>
      <c r="K79" s="21"/>
      <c r="L79" s="27"/>
      <c r="M79" s="111"/>
      <c r="N79" s="23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>
        <f t="shared" si="32"/>
        <v>0</v>
      </c>
      <c r="Z79" s="21"/>
      <c r="AA79" s="21"/>
      <c r="AB79" s="21"/>
      <c r="AC79" s="21"/>
      <c r="AD79" s="21"/>
      <c r="AE79" s="21"/>
      <c r="AF79" s="21"/>
    </row>
    <row r="80" spans="1:32" x14ac:dyDescent="0.2">
      <c r="A80" s="115"/>
      <c r="B80" s="99"/>
      <c r="C80" s="60"/>
      <c r="D80" s="99"/>
      <c r="E80" s="61"/>
      <c r="F80" s="61"/>
      <c r="G80" s="61"/>
      <c r="H80" s="61"/>
      <c r="I80" s="61"/>
      <c r="J80" s="61"/>
      <c r="K80" s="21"/>
      <c r="L80" s="27"/>
      <c r="M80" s="111"/>
      <c r="N80" s="23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>
        <f t="shared" si="32"/>
        <v>0</v>
      </c>
      <c r="Z80" s="21"/>
      <c r="AA80" s="21"/>
      <c r="AB80" s="21"/>
      <c r="AC80" s="21"/>
      <c r="AD80" s="21"/>
      <c r="AE80" s="21"/>
      <c r="AF80" s="21"/>
    </row>
    <row r="81" spans="1:32" x14ac:dyDescent="0.2">
      <c r="A81" s="115"/>
      <c r="B81" s="99"/>
      <c r="C81" s="60"/>
      <c r="D81" s="99"/>
      <c r="E81" s="61"/>
      <c r="F81" s="61"/>
      <c r="G81" s="61"/>
      <c r="H81" s="61"/>
      <c r="I81" s="61"/>
      <c r="J81" s="61"/>
      <c r="K81" s="21"/>
      <c r="L81" s="27"/>
      <c r="M81" s="111"/>
      <c r="N81" s="23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>
        <f t="shared" si="32"/>
        <v>0</v>
      </c>
      <c r="Z81" s="21"/>
      <c r="AA81" s="21"/>
      <c r="AB81" s="21"/>
      <c r="AC81" s="21"/>
      <c r="AD81" s="21"/>
      <c r="AE81" s="21"/>
      <c r="AF81" s="21"/>
    </row>
    <row r="82" spans="1:32" x14ac:dyDescent="0.2">
      <c r="A82" s="115"/>
      <c r="B82" s="100"/>
      <c r="C82" s="60"/>
      <c r="D82" s="100"/>
      <c r="E82" s="61"/>
      <c r="F82" s="61"/>
      <c r="G82" s="61"/>
      <c r="H82" s="61"/>
      <c r="I82" s="61"/>
      <c r="J82" s="61"/>
      <c r="K82" s="21"/>
      <c r="L82" s="27"/>
      <c r="M82" s="111"/>
      <c r="N82" s="23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>
        <f t="shared" si="32"/>
        <v>0</v>
      </c>
      <c r="Z82" s="21"/>
      <c r="AA82" s="21"/>
      <c r="AB82" s="21"/>
      <c r="AC82" s="21"/>
      <c r="AD82" s="21"/>
      <c r="AE82" s="21"/>
      <c r="AF82" s="21"/>
    </row>
    <row r="83" spans="1:32" x14ac:dyDescent="0.2">
      <c r="A83" s="115"/>
      <c r="B83" s="98"/>
      <c r="C83" s="60"/>
      <c r="D83" s="60"/>
      <c r="E83" s="61"/>
      <c r="F83" s="61"/>
      <c r="G83" s="61"/>
      <c r="H83" s="61"/>
      <c r="I83" s="61">
        <f t="shared" ref="I83:I100" si="33">MAX(1,E83:H83)</f>
        <v>1</v>
      </c>
      <c r="J83" s="61">
        <v>1</v>
      </c>
      <c r="K83" s="21">
        <f t="shared" ref="K83:K100" si="34">INDEX(RiskMatrix,I83,J83)</f>
        <v>1</v>
      </c>
      <c r="L83" s="27">
        <f t="shared" ref="L83:L100" si="35">VLOOKUP(K83,SLTS,2)</f>
        <v>1</v>
      </c>
      <c r="M83" s="111"/>
      <c r="N83" s="23"/>
      <c r="O83" s="21"/>
      <c r="P83" s="21"/>
      <c r="Q83" s="21"/>
      <c r="R83" s="21"/>
      <c r="S83" s="21">
        <f t="shared" ref="S83:S134" si="36">MAX(1,O83:R83)</f>
        <v>1</v>
      </c>
      <c r="T83" s="21">
        <v>1</v>
      </c>
      <c r="U83" s="21">
        <f t="shared" ref="U83:U98" si="37">INDEX(RiskMatrix,I83,T83)</f>
        <v>1</v>
      </c>
      <c r="V83" s="21"/>
      <c r="W83" s="21"/>
      <c r="X83" s="21"/>
      <c r="Y83" s="21">
        <f t="shared" si="32"/>
        <v>0</v>
      </c>
      <c r="Z83" s="21"/>
      <c r="AA83" s="21"/>
      <c r="AB83" s="21"/>
      <c r="AC83" s="21"/>
      <c r="AD83" s="21">
        <f t="shared" ref="AD83:AD134" si="38">MAX(1,Z83:AC83)</f>
        <v>1</v>
      </c>
      <c r="AE83" s="21">
        <v>1</v>
      </c>
      <c r="AF83" s="21">
        <f t="shared" ref="AF83:AF109" si="39">INDEX(RiskMatrix,AD83,AE83)</f>
        <v>1</v>
      </c>
    </row>
    <row r="84" spans="1:32" x14ac:dyDescent="0.2">
      <c r="A84" s="115"/>
      <c r="B84" s="99"/>
      <c r="C84" s="60"/>
      <c r="D84" s="60"/>
      <c r="E84" s="61"/>
      <c r="F84" s="61"/>
      <c r="G84" s="61"/>
      <c r="H84" s="61"/>
      <c r="I84" s="61">
        <f t="shared" si="33"/>
        <v>1</v>
      </c>
      <c r="J84" s="61">
        <v>1</v>
      </c>
      <c r="K84" s="21">
        <f t="shared" si="34"/>
        <v>1</v>
      </c>
      <c r="L84" s="27">
        <f t="shared" si="35"/>
        <v>1</v>
      </c>
      <c r="M84" s="111"/>
      <c r="N84" s="23"/>
      <c r="O84" s="21"/>
      <c r="P84" s="21"/>
      <c r="Q84" s="21"/>
      <c r="R84" s="21"/>
      <c r="S84" s="21">
        <f t="shared" si="36"/>
        <v>1</v>
      </c>
      <c r="T84" s="21">
        <v>1</v>
      </c>
      <c r="U84" s="21">
        <f t="shared" si="37"/>
        <v>1</v>
      </c>
      <c r="V84" s="21"/>
      <c r="W84" s="21"/>
      <c r="X84" s="21"/>
      <c r="Y84" s="21">
        <f t="shared" si="32"/>
        <v>0</v>
      </c>
      <c r="Z84" s="21"/>
      <c r="AA84" s="21"/>
      <c r="AB84" s="21"/>
      <c r="AC84" s="21"/>
      <c r="AD84" s="21">
        <f t="shared" si="38"/>
        <v>1</v>
      </c>
      <c r="AE84" s="21">
        <v>1</v>
      </c>
      <c r="AF84" s="21">
        <f t="shared" si="39"/>
        <v>1</v>
      </c>
    </row>
    <row r="85" spans="1:32" x14ac:dyDescent="0.2">
      <c r="A85" s="115"/>
      <c r="B85" s="99"/>
      <c r="C85" s="60"/>
      <c r="D85" s="60"/>
      <c r="E85" s="61"/>
      <c r="F85" s="61"/>
      <c r="G85" s="61"/>
      <c r="H85" s="61"/>
      <c r="I85" s="61">
        <f t="shared" si="33"/>
        <v>1</v>
      </c>
      <c r="J85" s="61">
        <v>1</v>
      </c>
      <c r="K85" s="21">
        <f t="shared" si="34"/>
        <v>1</v>
      </c>
      <c r="L85" s="27">
        <f t="shared" si="35"/>
        <v>1</v>
      </c>
      <c r="M85" s="111"/>
      <c r="N85" s="23"/>
      <c r="O85" s="21"/>
      <c r="P85" s="21"/>
      <c r="Q85" s="21"/>
      <c r="R85" s="21"/>
      <c r="S85" s="21">
        <f t="shared" si="36"/>
        <v>1</v>
      </c>
      <c r="T85" s="21">
        <v>1</v>
      </c>
      <c r="U85" s="21">
        <f t="shared" si="37"/>
        <v>1</v>
      </c>
      <c r="V85" s="21"/>
      <c r="W85" s="21"/>
      <c r="X85" s="21"/>
      <c r="Y85" s="21">
        <f t="shared" si="32"/>
        <v>0</v>
      </c>
      <c r="Z85" s="21"/>
      <c r="AA85" s="21"/>
      <c r="AB85" s="21"/>
      <c r="AC85" s="21"/>
      <c r="AD85" s="21">
        <f t="shared" si="38"/>
        <v>1</v>
      </c>
      <c r="AE85" s="21">
        <v>1</v>
      </c>
      <c r="AF85" s="21">
        <f t="shared" si="39"/>
        <v>1</v>
      </c>
    </row>
    <row r="86" spans="1:32" x14ac:dyDescent="0.2">
      <c r="A86" s="115"/>
      <c r="B86" s="99"/>
      <c r="C86" s="60"/>
      <c r="D86" s="60"/>
      <c r="E86" s="61"/>
      <c r="F86" s="61"/>
      <c r="G86" s="61"/>
      <c r="H86" s="61"/>
      <c r="I86" s="61">
        <f t="shared" si="33"/>
        <v>1</v>
      </c>
      <c r="J86" s="61">
        <v>1</v>
      </c>
      <c r="K86" s="21">
        <f t="shared" si="34"/>
        <v>1</v>
      </c>
      <c r="L86" s="27">
        <f t="shared" si="35"/>
        <v>1</v>
      </c>
      <c r="M86" s="111"/>
      <c r="N86" s="23"/>
      <c r="O86" s="21"/>
      <c r="P86" s="21"/>
      <c r="Q86" s="21"/>
      <c r="R86" s="21"/>
      <c r="S86" s="21">
        <f t="shared" si="36"/>
        <v>1</v>
      </c>
      <c r="T86" s="21">
        <v>1</v>
      </c>
      <c r="U86" s="21">
        <f t="shared" si="37"/>
        <v>1</v>
      </c>
      <c r="V86" s="21"/>
      <c r="W86" s="21"/>
      <c r="X86" s="21"/>
      <c r="Y86" s="21">
        <f t="shared" si="32"/>
        <v>0</v>
      </c>
      <c r="Z86" s="21"/>
      <c r="AA86" s="21"/>
      <c r="AB86" s="21"/>
      <c r="AC86" s="21"/>
      <c r="AD86" s="21">
        <f t="shared" si="38"/>
        <v>1</v>
      </c>
      <c r="AE86" s="21">
        <v>1</v>
      </c>
      <c r="AF86" s="21">
        <f t="shared" si="39"/>
        <v>1</v>
      </c>
    </row>
    <row r="87" spans="1:32" x14ac:dyDescent="0.2">
      <c r="A87" s="115"/>
      <c r="B87" s="99"/>
      <c r="C87" s="60"/>
      <c r="D87" s="60"/>
      <c r="E87" s="61"/>
      <c r="F87" s="61"/>
      <c r="G87" s="61"/>
      <c r="H87" s="61"/>
      <c r="I87" s="61">
        <f t="shared" si="33"/>
        <v>1</v>
      </c>
      <c r="J87" s="61">
        <v>1</v>
      </c>
      <c r="K87" s="21">
        <f t="shared" si="34"/>
        <v>1</v>
      </c>
      <c r="L87" s="27">
        <f t="shared" si="35"/>
        <v>1</v>
      </c>
      <c r="M87" s="111"/>
      <c r="N87" s="23"/>
      <c r="O87" s="21"/>
      <c r="P87" s="21"/>
      <c r="Q87" s="21"/>
      <c r="R87" s="21"/>
      <c r="S87" s="21">
        <f t="shared" si="36"/>
        <v>1</v>
      </c>
      <c r="T87" s="21">
        <v>1</v>
      </c>
      <c r="U87" s="21">
        <f t="shared" si="37"/>
        <v>1</v>
      </c>
      <c r="V87" s="21"/>
      <c r="W87" s="21"/>
      <c r="X87" s="21"/>
      <c r="Y87" s="21">
        <f t="shared" si="32"/>
        <v>0</v>
      </c>
      <c r="Z87" s="21"/>
      <c r="AA87" s="21"/>
      <c r="AB87" s="21"/>
      <c r="AC87" s="21"/>
      <c r="AD87" s="21">
        <f t="shared" si="38"/>
        <v>1</v>
      </c>
      <c r="AE87" s="21">
        <v>1</v>
      </c>
      <c r="AF87" s="21">
        <f t="shared" si="39"/>
        <v>1</v>
      </c>
    </row>
    <row r="88" spans="1:32" x14ac:dyDescent="0.2">
      <c r="A88" s="115"/>
      <c r="B88" s="99"/>
      <c r="C88" s="60"/>
      <c r="D88" s="60"/>
      <c r="E88" s="61"/>
      <c r="F88" s="61"/>
      <c r="G88" s="61"/>
      <c r="H88" s="61"/>
      <c r="I88" s="61">
        <f t="shared" si="33"/>
        <v>1</v>
      </c>
      <c r="J88" s="61">
        <v>1</v>
      </c>
      <c r="K88" s="21">
        <f t="shared" si="34"/>
        <v>1</v>
      </c>
      <c r="L88" s="27">
        <f t="shared" si="35"/>
        <v>1</v>
      </c>
      <c r="M88" s="111"/>
      <c r="N88" s="23"/>
      <c r="O88" s="21"/>
      <c r="P88" s="21"/>
      <c r="Q88" s="21"/>
      <c r="R88" s="21"/>
      <c r="S88" s="21">
        <f t="shared" si="36"/>
        <v>1</v>
      </c>
      <c r="T88" s="21">
        <v>1</v>
      </c>
      <c r="U88" s="21">
        <f t="shared" si="37"/>
        <v>1</v>
      </c>
      <c r="V88" s="21"/>
      <c r="W88" s="21"/>
      <c r="X88" s="21"/>
      <c r="Y88" s="21">
        <f t="shared" si="32"/>
        <v>0</v>
      </c>
      <c r="Z88" s="21"/>
      <c r="AA88" s="21"/>
      <c r="AB88" s="21"/>
      <c r="AC88" s="21"/>
      <c r="AD88" s="21">
        <f t="shared" si="38"/>
        <v>1</v>
      </c>
      <c r="AE88" s="21">
        <v>1</v>
      </c>
      <c r="AF88" s="21">
        <f t="shared" si="39"/>
        <v>1</v>
      </c>
    </row>
    <row r="89" spans="1:32" x14ac:dyDescent="0.2">
      <c r="A89" s="115"/>
      <c r="B89" s="100"/>
      <c r="C89" s="60"/>
      <c r="D89" s="60"/>
      <c r="E89" s="61"/>
      <c r="F89" s="61"/>
      <c r="G89" s="61"/>
      <c r="H89" s="61"/>
      <c r="I89" s="61">
        <f t="shared" si="33"/>
        <v>1</v>
      </c>
      <c r="J89" s="61">
        <v>1</v>
      </c>
      <c r="K89" s="21">
        <f t="shared" si="34"/>
        <v>1</v>
      </c>
      <c r="L89" s="27">
        <f t="shared" si="35"/>
        <v>1</v>
      </c>
      <c r="M89" s="111"/>
      <c r="N89" s="23"/>
      <c r="O89" s="21"/>
      <c r="P89" s="21"/>
      <c r="Q89" s="21"/>
      <c r="R89" s="21"/>
      <c r="S89" s="21">
        <f t="shared" si="36"/>
        <v>1</v>
      </c>
      <c r="T89" s="21">
        <v>1</v>
      </c>
      <c r="U89" s="21">
        <f t="shared" si="37"/>
        <v>1</v>
      </c>
      <c r="V89" s="21"/>
      <c r="W89" s="21"/>
      <c r="X89" s="21"/>
      <c r="Y89" s="21">
        <f t="shared" si="32"/>
        <v>0</v>
      </c>
      <c r="Z89" s="21"/>
      <c r="AA89" s="21"/>
      <c r="AB89" s="21"/>
      <c r="AC89" s="21"/>
      <c r="AD89" s="21">
        <f t="shared" si="38"/>
        <v>1</v>
      </c>
      <c r="AE89" s="21">
        <v>1</v>
      </c>
      <c r="AF89" s="21">
        <f t="shared" si="39"/>
        <v>1</v>
      </c>
    </row>
    <row r="90" spans="1:32" x14ac:dyDescent="0.2">
      <c r="A90" s="115"/>
      <c r="B90" s="98"/>
      <c r="C90" s="60"/>
      <c r="D90" s="60"/>
      <c r="E90" s="61"/>
      <c r="F90" s="61"/>
      <c r="G90" s="61"/>
      <c r="H90" s="61"/>
      <c r="I90" s="61">
        <f t="shared" si="33"/>
        <v>1</v>
      </c>
      <c r="J90" s="61">
        <v>1</v>
      </c>
      <c r="K90" s="21">
        <f t="shared" si="34"/>
        <v>1</v>
      </c>
      <c r="L90" s="27">
        <f t="shared" si="35"/>
        <v>1</v>
      </c>
      <c r="M90" s="111"/>
      <c r="N90" s="23"/>
      <c r="O90" s="21"/>
      <c r="P90" s="21"/>
      <c r="Q90" s="21"/>
      <c r="R90" s="21"/>
      <c r="S90" s="21">
        <f t="shared" si="36"/>
        <v>1</v>
      </c>
      <c r="T90" s="21">
        <v>1</v>
      </c>
      <c r="U90" s="21">
        <f t="shared" si="37"/>
        <v>1</v>
      </c>
      <c r="V90" s="21"/>
      <c r="W90" s="21"/>
      <c r="X90" s="21"/>
      <c r="Y90" s="21">
        <f t="shared" si="32"/>
        <v>0</v>
      </c>
      <c r="Z90" s="21"/>
      <c r="AA90" s="21"/>
      <c r="AB90" s="21"/>
      <c r="AC90" s="21"/>
      <c r="AD90" s="21">
        <f t="shared" si="38"/>
        <v>1</v>
      </c>
      <c r="AE90" s="21">
        <v>1</v>
      </c>
      <c r="AF90" s="21">
        <f t="shared" si="39"/>
        <v>1</v>
      </c>
    </row>
    <row r="91" spans="1:32" x14ac:dyDescent="0.2">
      <c r="A91" s="115"/>
      <c r="B91" s="99"/>
      <c r="C91" s="60"/>
      <c r="D91" s="60"/>
      <c r="E91" s="61"/>
      <c r="F91" s="61"/>
      <c r="G91" s="61"/>
      <c r="H91" s="61"/>
      <c r="I91" s="61">
        <f t="shared" si="33"/>
        <v>1</v>
      </c>
      <c r="J91" s="61">
        <v>1</v>
      </c>
      <c r="K91" s="21">
        <f t="shared" si="34"/>
        <v>1</v>
      </c>
      <c r="L91" s="27">
        <f t="shared" si="35"/>
        <v>1</v>
      </c>
      <c r="M91" s="111"/>
      <c r="N91" s="23"/>
      <c r="O91" s="21"/>
      <c r="P91" s="21"/>
      <c r="Q91" s="21"/>
      <c r="R91" s="21"/>
      <c r="S91" s="21">
        <f t="shared" si="36"/>
        <v>1</v>
      </c>
      <c r="T91" s="21">
        <v>1</v>
      </c>
      <c r="U91" s="21">
        <f t="shared" si="37"/>
        <v>1</v>
      </c>
      <c r="V91" s="21"/>
      <c r="W91" s="21"/>
      <c r="X91" s="21"/>
      <c r="Y91" s="21">
        <f t="shared" si="32"/>
        <v>0</v>
      </c>
      <c r="Z91" s="21"/>
      <c r="AA91" s="21"/>
      <c r="AB91" s="21"/>
      <c r="AC91" s="21"/>
      <c r="AD91" s="21">
        <f t="shared" si="38"/>
        <v>1</v>
      </c>
      <c r="AE91" s="21">
        <v>1</v>
      </c>
      <c r="AF91" s="21">
        <f t="shared" si="39"/>
        <v>1</v>
      </c>
    </row>
    <row r="92" spans="1:32" x14ac:dyDescent="0.2">
      <c r="A92" s="115"/>
      <c r="B92" s="99"/>
      <c r="C92" s="60"/>
      <c r="D92" s="60"/>
      <c r="E92" s="61"/>
      <c r="F92" s="61"/>
      <c r="G92" s="61"/>
      <c r="H92" s="61"/>
      <c r="I92" s="61">
        <f t="shared" si="33"/>
        <v>1</v>
      </c>
      <c r="J92" s="61">
        <v>1</v>
      </c>
      <c r="K92" s="21">
        <f t="shared" si="34"/>
        <v>1</v>
      </c>
      <c r="L92" s="27">
        <f t="shared" si="35"/>
        <v>1</v>
      </c>
      <c r="M92" s="111"/>
      <c r="N92" s="23"/>
      <c r="O92" s="21"/>
      <c r="P92" s="21"/>
      <c r="Q92" s="21"/>
      <c r="R92" s="21"/>
      <c r="S92" s="21">
        <f t="shared" si="36"/>
        <v>1</v>
      </c>
      <c r="T92" s="21">
        <v>1</v>
      </c>
      <c r="U92" s="21">
        <f t="shared" si="37"/>
        <v>1</v>
      </c>
      <c r="V92" s="21"/>
      <c r="W92" s="21"/>
      <c r="X92" s="21"/>
      <c r="Y92" s="21">
        <f t="shared" si="32"/>
        <v>0</v>
      </c>
      <c r="Z92" s="21"/>
      <c r="AA92" s="21"/>
      <c r="AB92" s="21"/>
      <c r="AC92" s="21"/>
      <c r="AD92" s="21">
        <f t="shared" si="38"/>
        <v>1</v>
      </c>
      <c r="AE92" s="21">
        <v>1</v>
      </c>
      <c r="AF92" s="21">
        <f t="shared" si="39"/>
        <v>1</v>
      </c>
    </row>
    <row r="93" spans="1:32" x14ac:dyDescent="0.2">
      <c r="A93" s="115"/>
      <c r="B93" s="99"/>
      <c r="C93" s="60"/>
      <c r="D93" s="60"/>
      <c r="E93" s="61"/>
      <c r="F93" s="61"/>
      <c r="G93" s="61"/>
      <c r="H93" s="61"/>
      <c r="I93" s="61">
        <f t="shared" si="33"/>
        <v>1</v>
      </c>
      <c r="J93" s="61">
        <v>1</v>
      </c>
      <c r="K93" s="21">
        <f t="shared" si="34"/>
        <v>1</v>
      </c>
      <c r="L93" s="27">
        <f t="shared" si="35"/>
        <v>1</v>
      </c>
      <c r="M93" s="111"/>
      <c r="N93" s="23"/>
      <c r="O93" s="21"/>
      <c r="P93" s="21"/>
      <c r="Q93" s="21"/>
      <c r="R93" s="21"/>
      <c r="S93" s="21">
        <f t="shared" si="36"/>
        <v>1</v>
      </c>
      <c r="T93" s="21">
        <v>1</v>
      </c>
      <c r="U93" s="21">
        <f t="shared" si="37"/>
        <v>1</v>
      </c>
      <c r="V93" s="21"/>
      <c r="W93" s="21"/>
      <c r="X93" s="22"/>
      <c r="Y93" s="21">
        <f t="shared" si="32"/>
        <v>0</v>
      </c>
      <c r="Z93" s="21"/>
      <c r="AA93" s="21"/>
      <c r="AB93" s="21"/>
      <c r="AC93" s="21"/>
      <c r="AD93" s="21">
        <f t="shared" si="38"/>
        <v>1</v>
      </c>
      <c r="AE93" s="21">
        <v>1</v>
      </c>
      <c r="AF93" s="21">
        <f t="shared" si="39"/>
        <v>1</v>
      </c>
    </row>
    <row r="94" spans="1:32" x14ac:dyDescent="0.2">
      <c r="A94" s="115"/>
      <c r="B94" s="99"/>
      <c r="C94" s="60"/>
      <c r="D94" s="60"/>
      <c r="E94" s="61"/>
      <c r="F94" s="61"/>
      <c r="G94" s="61"/>
      <c r="H94" s="61"/>
      <c r="I94" s="61">
        <f t="shared" si="33"/>
        <v>1</v>
      </c>
      <c r="J94" s="61">
        <v>1</v>
      </c>
      <c r="K94" s="21">
        <f t="shared" si="34"/>
        <v>1</v>
      </c>
      <c r="L94" s="27">
        <f t="shared" si="35"/>
        <v>1</v>
      </c>
      <c r="M94" s="111"/>
      <c r="N94" s="23"/>
      <c r="O94" s="21"/>
      <c r="P94" s="21"/>
      <c r="Q94" s="21"/>
      <c r="R94" s="21"/>
      <c r="S94" s="21">
        <f t="shared" si="36"/>
        <v>1</v>
      </c>
      <c r="T94" s="21">
        <v>1</v>
      </c>
      <c r="U94" s="21">
        <f t="shared" si="37"/>
        <v>1</v>
      </c>
      <c r="V94" s="21"/>
      <c r="W94" s="21"/>
      <c r="X94" s="22"/>
      <c r="Y94" s="21">
        <f t="shared" si="32"/>
        <v>0</v>
      </c>
      <c r="Z94" s="21"/>
      <c r="AA94" s="21"/>
      <c r="AB94" s="21"/>
      <c r="AC94" s="21"/>
      <c r="AD94" s="21">
        <f t="shared" si="38"/>
        <v>1</v>
      </c>
      <c r="AE94" s="21">
        <v>1</v>
      </c>
      <c r="AF94" s="21">
        <f t="shared" si="39"/>
        <v>1</v>
      </c>
    </row>
    <row r="95" spans="1:32" x14ac:dyDescent="0.2">
      <c r="A95" s="115"/>
      <c r="B95" s="99"/>
      <c r="C95" s="60"/>
      <c r="D95" s="60"/>
      <c r="E95" s="61"/>
      <c r="F95" s="61"/>
      <c r="G95" s="61"/>
      <c r="H95" s="61"/>
      <c r="I95" s="61">
        <f t="shared" si="33"/>
        <v>1</v>
      </c>
      <c r="J95" s="61">
        <v>1</v>
      </c>
      <c r="K95" s="21">
        <f t="shared" si="34"/>
        <v>1</v>
      </c>
      <c r="L95" s="27">
        <f t="shared" si="35"/>
        <v>1</v>
      </c>
      <c r="M95" s="111"/>
      <c r="N95" s="23"/>
      <c r="O95" s="21"/>
      <c r="P95" s="21"/>
      <c r="Q95" s="21"/>
      <c r="R95" s="21"/>
      <c r="S95" s="21">
        <f t="shared" si="36"/>
        <v>1</v>
      </c>
      <c r="T95" s="21">
        <v>1</v>
      </c>
      <c r="U95" s="21">
        <f t="shared" si="37"/>
        <v>1</v>
      </c>
      <c r="V95" s="21"/>
      <c r="W95" s="21"/>
      <c r="X95" s="22"/>
      <c r="Y95" s="21">
        <f t="shared" si="32"/>
        <v>0</v>
      </c>
      <c r="Z95" s="21"/>
      <c r="AA95" s="21"/>
      <c r="AB95" s="21"/>
      <c r="AC95" s="21"/>
      <c r="AD95" s="21">
        <f t="shared" si="38"/>
        <v>1</v>
      </c>
      <c r="AE95" s="21">
        <v>1</v>
      </c>
      <c r="AF95" s="21">
        <f t="shared" si="39"/>
        <v>1</v>
      </c>
    </row>
    <row r="96" spans="1:32" x14ac:dyDescent="0.2">
      <c r="A96" s="115"/>
      <c r="B96" s="100"/>
      <c r="C96" s="60"/>
      <c r="D96" s="60"/>
      <c r="E96" s="61"/>
      <c r="F96" s="61"/>
      <c r="G96" s="61"/>
      <c r="H96" s="61"/>
      <c r="I96" s="61">
        <f t="shared" si="33"/>
        <v>1</v>
      </c>
      <c r="J96" s="61">
        <v>1</v>
      </c>
      <c r="K96" s="21">
        <f t="shared" si="34"/>
        <v>1</v>
      </c>
      <c r="L96" s="27">
        <f t="shared" si="35"/>
        <v>1</v>
      </c>
      <c r="M96" s="111"/>
      <c r="N96" s="23"/>
      <c r="O96" s="21"/>
      <c r="P96" s="21"/>
      <c r="Q96" s="21"/>
      <c r="R96" s="21"/>
      <c r="S96" s="21">
        <f t="shared" si="36"/>
        <v>1</v>
      </c>
      <c r="T96" s="21">
        <v>1</v>
      </c>
      <c r="U96" s="21">
        <f t="shared" si="37"/>
        <v>1</v>
      </c>
      <c r="V96" s="21"/>
      <c r="W96" s="21"/>
      <c r="X96" s="22"/>
      <c r="Y96" s="21">
        <f t="shared" si="32"/>
        <v>0</v>
      </c>
      <c r="Z96" s="21"/>
      <c r="AA96" s="21"/>
      <c r="AB96" s="21"/>
      <c r="AC96" s="21"/>
      <c r="AD96" s="21">
        <f t="shared" si="38"/>
        <v>1</v>
      </c>
      <c r="AE96" s="21">
        <v>1</v>
      </c>
      <c r="AF96" s="21">
        <f t="shared" si="39"/>
        <v>1</v>
      </c>
    </row>
    <row r="97" spans="1:32" x14ac:dyDescent="0.2">
      <c r="A97" s="115"/>
      <c r="B97" s="98"/>
      <c r="C97" s="60"/>
      <c r="D97" s="60"/>
      <c r="E97" s="61"/>
      <c r="F97" s="61"/>
      <c r="G97" s="61"/>
      <c r="H97" s="61"/>
      <c r="I97" s="61">
        <f t="shared" si="33"/>
        <v>1</v>
      </c>
      <c r="J97" s="61">
        <v>1</v>
      </c>
      <c r="K97" s="21">
        <f t="shared" si="34"/>
        <v>1</v>
      </c>
      <c r="L97" s="27">
        <f t="shared" si="35"/>
        <v>1</v>
      </c>
      <c r="M97" s="111"/>
      <c r="N97" s="23"/>
      <c r="O97" s="21"/>
      <c r="P97" s="21"/>
      <c r="Q97" s="21"/>
      <c r="R97" s="21"/>
      <c r="S97" s="21">
        <f t="shared" si="36"/>
        <v>1</v>
      </c>
      <c r="T97" s="21">
        <v>1</v>
      </c>
      <c r="U97" s="21">
        <f t="shared" si="37"/>
        <v>1</v>
      </c>
      <c r="V97" s="21"/>
      <c r="W97" s="21"/>
      <c r="X97" s="22"/>
      <c r="Y97" s="21">
        <f t="shared" si="32"/>
        <v>0</v>
      </c>
      <c r="Z97" s="21"/>
      <c r="AA97" s="21"/>
      <c r="AB97" s="21"/>
      <c r="AC97" s="21"/>
      <c r="AD97" s="21">
        <f t="shared" si="38"/>
        <v>1</v>
      </c>
      <c r="AE97" s="21">
        <v>1</v>
      </c>
      <c r="AF97" s="21">
        <f t="shared" si="39"/>
        <v>1</v>
      </c>
    </row>
    <row r="98" spans="1:32" x14ac:dyDescent="0.2">
      <c r="A98" s="115"/>
      <c r="B98" s="99"/>
      <c r="C98" s="60"/>
      <c r="D98" s="60"/>
      <c r="E98" s="61"/>
      <c r="F98" s="61"/>
      <c r="G98" s="61"/>
      <c r="H98" s="61"/>
      <c r="I98" s="61">
        <f t="shared" si="33"/>
        <v>1</v>
      </c>
      <c r="J98" s="61">
        <v>1</v>
      </c>
      <c r="K98" s="21">
        <f t="shared" si="34"/>
        <v>1</v>
      </c>
      <c r="L98" s="27">
        <f t="shared" si="35"/>
        <v>1</v>
      </c>
      <c r="M98" s="111"/>
      <c r="N98" s="23"/>
      <c r="O98" s="21"/>
      <c r="P98" s="21"/>
      <c r="Q98" s="21"/>
      <c r="R98" s="21"/>
      <c r="S98" s="21">
        <f t="shared" si="36"/>
        <v>1</v>
      </c>
      <c r="T98" s="21">
        <v>1</v>
      </c>
      <c r="U98" s="21">
        <f t="shared" si="37"/>
        <v>1</v>
      </c>
      <c r="V98" s="21"/>
      <c r="W98" s="21"/>
      <c r="X98" s="22"/>
      <c r="Y98" s="21">
        <f t="shared" si="32"/>
        <v>0</v>
      </c>
      <c r="Z98" s="21"/>
      <c r="AA98" s="21"/>
      <c r="AB98" s="21"/>
      <c r="AC98" s="21"/>
      <c r="AD98" s="21">
        <f t="shared" si="38"/>
        <v>1</v>
      </c>
      <c r="AE98" s="21">
        <v>1</v>
      </c>
      <c r="AF98" s="21">
        <f t="shared" si="39"/>
        <v>1</v>
      </c>
    </row>
    <row r="99" spans="1:32" x14ac:dyDescent="0.2">
      <c r="A99" s="115"/>
      <c r="B99" s="99"/>
      <c r="C99" s="60"/>
      <c r="D99" s="60"/>
      <c r="E99" s="61"/>
      <c r="F99" s="61"/>
      <c r="G99" s="61"/>
      <c r="H99" s="61"/>
      <c r="I99" s="61">
        <f t="shared" si="33"/>
        <v>1</v>
      </c>
      <c r="J99" s="61">
        <v>1</v>
      </c>
      <c r="K99" s="21">
        <f t="shared" si="34"/>
        <v>1</v>
      </c>
      <c r="L99" s="27">
        <f t="shared" si="35"/>
        <v>1</v>
      </c>
      <c r="M99" s="111"/>
      <c r="N99" s="23"/>
      <c r="O99" s="21"/>
      <c r="P99" s="21"/>
      <c r="Q99" s="21"/>
      <c r="R99" s="21"/>
      <c r="S99" s="21">
        <f t="shared" si="36"/>
        <v>1</v>
      </c>
      <c r="T99" s="21">
        <v>1</v>
      </c>
      <c r="U99" s="21">
        <f t="shared" ref="U99:U130" si="40">INDEX(RiskMatrix,I99,T99)</f>
        <v>1</v>
      </c>
      <c r="V99" s="21"/>
      <c r="W99" s="21"/>
      <c r="X99" s="22"/>
      <c r="Y99" s="21">
        <f t="shared" si="32"/>
        <v>0</v>
      </c>
      <c r="Z99" s="21"/>
      <c r="AA99" s="21"/>
      <c r="AB99" s="21"/>
      <c r="AC99" s="21"/>
      <c r="AD99" s="21">
        <f t="shared" si="38"/>
        <v>1</v>
      </c>
      <c r="AE99" s="21">
        <v>1</v>
      </c>
      <c r="AF99" s="21">
        <f t="shared" si="39"/>
        <v>1</v>
      </c>
    </row>
    <row r="100" spans="1:32" x14ac:dyDescent="0.2">
      <c r="A100" s="115"/>
      <c r="B100" s="99"/>
      <c r="C100" s="60"/>
      <c r="D100" s="60"/>
      <c r="E100" s="61"/>
      <c r="F100" s="61"/>
      <c r="G100" s="61"/>
      <c r="H100" s="61"/>
      <c r="I100" s="61">
        <f t="shared" si="33"/>
        <v>1</v>
      </c>
      <c r="J100" s="61">
        <v>1</v>
      </c>
      <c r="K100" s="21">
        <f t="shared" si="34"/>
        <v>1</v>
      </c>
      <c r="L100" s="27">
        <f t="shared" si="35"/>
        <v>1</v>
      </c>
      <c r="M100" s="111"/>
      <c r="N100" s="23"/>
      <c r="O100" s="21"/>
      <c r="P100" s="21"/>
      <c r="Q100" s="21"/>
      <c r="R100" s="21"/>
      <c r="S100" s="21">
        <f t="shared" si="36"/>
        <v>1</v>
      </c>
      <c r="T100" s="21">
        <v>1</v>
      </c>
      <c r="U100" s="21">
        <f t="shared" si="40"/>
        <v>1</v>
      </c>
      <c r="V100" s="21"/>
      <c r="W100" s="21"/>
      <c r="X100" s="22"/>
      <c r="Y100" s="21">
        <f t="shared" si="32"/>
        <v>0</v>
      </c>
      <c r="Z100" s="21"/>
      <c r="AA100" s="21"/>
      <c r="AB100" s="21"/>
      <c r="AC100" s="21"/>
      <c r="AD100" s="21">
        <f t="shared" si="38"/>
        <v>1</v>
      </c>
      <c r="AE100" s="21">
        <v>1</v>
      </c>
      <c r="AF100" s="21">
        <f t="shared" si="39"/>
        <v>1</v>
      </c>
    </row>
    <row r="101" spans="1:32" x14ac:dyDescent="0.2">
      <c r="A101" s="115"/>
      <c r="B101" s="99"/>
      <c r="C101" s="60"/>
      <c r="D101" s="60"/>
      <c r="E101" s="61"/>
      <c r="F101" s="61"/>
      <c r="G101" s="61"/>
      <c r="H101" s="61"/>
      <c r="I101" s="61">
        <f t="shared" ref="I101:I134" si="41">MAX(1,E101:H101)</f>
        <v>1</v>
      </c>
      <c r="J101" s="61">
        <v>1</v>
      </c>
      <c r="K101" s="21">
        <f t="shared" ref="K101:K134" si="42">INDEX(RiskMatrix,I101,J101)</f>
        <v>1</v>
      </c>
      <c r="L101" s="27">
        <f t="shared" ref="L101:L134" si="43">VLOOKUP(K101,SLTS,2)</f>
        <v>1</v>
      </c>
      <c r="M101" s="111"/>
      <c r="N101" s="23"/>
      <c r="O101" s="21"/>
      <c r="P101" s="21"/>
      <c r="Q101" s="21"/>
      <c r="R101" s="21"/>
      <c r="S101" s="21">
        <f t="shared" si="36"/>
        <v>1</v>
      </c>
      <c r="T101" s="21">
        <v>1</v>
      </c>
      <c r="U101" s="21">
        <f t="shared" si="40"/>
        <v>1</v>
      </c>
      <c r="V101" s="21"/>
      <c r="W101" s="21"/>
      <c r="X101" s="22"/>
      <c r="Y101" s="21">
        <f t="shared" si="32"/>
        <v>0</v>
      </c>
      <c r="Z101" s="21"/>
      <c r="AA101" s="21"/>
      <c r="AB101" s="21"/>
      <c r="AC101" s="21"/>
      <c r="AD101" s="21">
        <f t="shared" si="38"/>
        <v>1</v>
      </c>
      <c r="AE101" s="21">
        <v>1</v>
      </c>
      <c r="AF101" s="21">
        <f t="shared" si="39"/>
        <v>1</v>
      </c>
    </row>
    <row r="102" spans="1:32" x14ac:dyDescent="0.2">
      <c r="A102" s="115"/>
      <c r="B102" s="99"/>
      <c r="C102" s="60"/>
      <c r="D102" s="60"/>
      <c r="E102" s="61"/>
      <c r="F102" s="61"/>
      <c r="G102" s="61"/>
      <c r="H102" s="61"/>
      <c r="I102" s="61">
        <f t="shared" si="41"/>
        <v>1</v>
      </c>
      <c r="J102" s="61">
        <v>1</v>
      </c>
      <c r="K102" s="21">
        <f t="shared" si="42"/>
        <v>1</v>
      </c>
      <c r="L102" s="27">
        <f t="shared" si="43"/>
        <v>1</v>
      </c>
      <c r="M102" s="111"/>
      <c r="N102" s="23"/>
      <c r="O102" s="21"/>
      <c r="P102" s="21"/>
      <c r="Q102" s="21"/>
      <c r="R102" s="21"/>
      <c r="S102" s="21">
        <f t="shared" si="36"/>
        <v>1</v>
      </c>
      <c r="T102" s="21">
        <v>1</v>
      </c>
      <c r="U102" s="21">
        <f t="shared" si="40"/>
        <v>1</v>
      </c>
      <c r="V102" s="21"/>
      <c r="W102" s="21"/>
      <c r="X102" s="22"/>
      <c r="Y102" s="21">
        <f t="shared" si="32"/>
        <v>0</v>
      </c>
      <c r="Z102" s="21"/>
      <c r="AA102" s="21"/>
      <c r="AB102" s="21"/>
      <c r="AC102" s="21"/>
      <c r="AD102" s="21">
        <f t="shared" si="38"/>
        <v>1</v>
      </c>
      <c r="AE102" s="21">
        <v>1</v>
      </c>
      <c r="AF102" s="21">
        <f t="shared" si="39"/>
        <v>1</v>
      </c>
    </row>
    <row r="103" spans="1:32" x14ac:dyDescent="0.2">
      <c r="A103" s="115"/>
      <c r="B103" s="99"/>
      <c r="C103" s="60"/>
      <c r="D103" s="60"/>
      <c r="E103" s="61"/>
      <c r="F103" s="61"/>
      <c r="G103" s="61"/>
      <c r="H103" s="61"/>
      <c r="I103" s="61">
        <f t="shared" si="41"/>
        <v>1</v>
      </c>
      <c r="J103" s="61">
        <v>1</v>
      </c>
      <c r="K103" s="21">
        <f t="shared" si="42"/>
        <v>1</v>
      </c>
      <c r="L103" s="27">
        <f t="shared" si="43"/>
        <v>1</v>
      </c>
      <c r="M103" s="111"/>
      <c r="N103" s="23"/>
      <c r="O103" s="21"/>
      <c r="P103" s="21"/>
      <c r="Q103" s="21"/>
      <c r="R103" s="21"/>
      <c r="S103" s="21">
        <f t="shared" si="36"/>
        <v>1</v>
      </c>
      <c r="T103" s="21">
        <v>1</v>
      </c>
      <c r="U103" s="21">
        <f t="shared" si="40"/>
        <v>1</v>
      </c>
      <c r="V103" s="21"/>
      <c r="W103" s="21"/>
      <c r="X103" s="22"/>
      <c r="Y103" s="21">
        <f t="shared" si="32"/>
        <v>0</v>
      </c>
      <c r="Z103" s="21"/>
      <c r="AA103" s="21"/>
      <c r="AB103" s="21"/>
      <c r="AC103" s="21"/>
      <c r="AD103" s="21">
        <f t="shared" si="38"/>
        <v>1</v>
      </c>
      <c r="AE103" s="21">
        <v>1</v>
      </c>
      <c r="AF103" s="21">
        <f t="shared" si="39"/>
        <v>1</v>
      </c>
    </row>
    <row r="104" spans="1:32" x14ac:dyDescent="0.2">
      <c r="A104" s="116"/>
      <c r="B104" s="100"/>
      <c r="C104" s="60"/>
      <c r="D104" s="60"/>
      <c r="E104" s="61"/>
      <c r="F104" s="61"/>
      <c r="G104" s="61"/>
      <c r="H104" s="61"/>
      <c r="I104" s="61">
        <f t="shared" si="41"/>
        <v>1</v>
      </c>
      <c r="J104" s="61">
        <v>1</v>
      </c>
      <c r="K104" s="21">
        <f t="shared" si="42"/>
        <v>1</v>
      </c>
      <c r="L104" s="27">
        <f t="shared" si="43"/>
        <v>1</v>
      </c>
      <c r="M104" s="111"/>
      <c r="N104" s="23"/>
      <c r="O104" s="21"/>
      <c r="P104" s="21"/>
      <c r="Q104" s="21"/>
      <c r="R104" s="21"/>
      <c r="S104" s="21">
        <f t="shared" si="36"/>
        <v>1</v>
      </c>
      <c r="T104" s="21">
        <v>1</v>
      </c>
      <c r="U104" s="21">
        <f t="shared" si="40"/>
        <v>1</v>
      </c>
      <c r="V104" s="21"/>
      <c r="W104" s="21"/>
      <c r="X104" s="22"/>
      <c r="Y104" s="21">
        <f t="shared" si="32"/>
        <v>0</v>
      </c>
      <c r="Z104" s="21"/>
      <c r="AA104" s="21"/>
      <c r="AB104" s="21"/>
      <c r="AC104" s="21"/>
      <c r="AD104" s="21">
        <f t="shared" si="38"/>
        <v>1</v>
      </c>
      <c r="AE104" s="21">
        <v>1</v>
      </c>
      <c r="AF104" s="21">
        <f t="shared" si="39"/>
        <v>1</v>
      </c>
    </row>
    <row r="105" spans="1:32" x14ac:dyDescent="0.2">
      <c r="A105" s="52"/>
      <c r="B105" s="52"/>
      <c r="C105" s="65"/>
      <c r="D105" s="60"/>
      <c r="E105" s="61"/>
      <c r="F105" s="61"/>
      <c r="G105" s="61"/>
      <c r="H105" s="61"/>
      <c r="I105" s="61">
        <f t="shared" si="41"/>
        <v>1</v>
      </c>
      <c r="J105" s="61">
        <v>1</v>
      </c>
      <c r="K105" s="21">
        <f t="shared" si="42"/>
        <v>1</v>
      </c>
      <c r="L105" s="27">
        <f t="shared" si="43"/>
        <v>1</v>
      </c>
      <c r="M105" s="112"/>
      <c r="N105" s="23"/>
      <c r="O105" s="21"/>
      <c r="P105" s="21"/>
      <c r="Q105" s="21"/>
      <c r="R105" s="21"/>
      <c r="S105" s="21">
        <f t="shared" si="36"/>
        <v>1</v>
      </c>
      <c r="T105" s="21">
        <v>1</v>
      </c>
      <c r="U105" s="21">
        <f t="shared" si="40"/>
        <v>1</v>
      </c>
      <c r="V105" s="21"/>
      <c r="W105" s="21"/>
      <c r="X105" s="22"/>
      <c r="Y105" s="21">
        <f t="shared" si="32"/>
        <v>0</v>
      </c>
      <c r="Z105" s="21"/>
      <c r="AA105" s="21"/>
      <c r="AB105" s="21"/>
      <c r="AC105" s="21"/>
      <c r="AD105" s="21">
        <f t="shared" si="38"/>
        <v>1</v>
      </c>
      <c r="AE105" s="21">
        <v>1</v>
      </c>
      <c r="AF105" s="21">
        <f t="shared" si="39"/>
        <v>1</v>
      </c>
    </row>
    <row r="106" spans="1:32" x14ac:dyDescent="0.2">
      <c r="A106" s="52"/>
      <c r="B106" s="52"/>
      <c r="C106" s="65"/>
      <c r="D106" s="60"/>
      <c r="E106" s="61"/>
      <c r="F106" s="61"/>
      <c r="G106" s="61"/>
      <c r="H106" s="61"/>
      <c r="I106" s="61">
        <f t="shared" si="41"/>
        <v>1</v>
      </c>
      <c r="J106" s="61">
        <v>1</v>
      </c>
      <c r="K106" s="21">
        <f t="shared" si="42"/>
        <v>1</v>
      </c>
      <c r="L106" s="27">
        <f t="shared" si="43"/>
        <v>1</v>
      </c>
      <c r="M106" s="27"/>
      <c r="N106" s="23"/>
      <c r="O106" s="21"/>
      <c r="P106" s="21"/>
      <c r="Q106" s="21"/>
      <c r="R106" s="21"/>
      <c r="S106" s="21">
        <f t="shared" si="36"/>
        <v>1</v>
      </c>
      <c r="T106" s="21">
        <v>1</v>
      </c>
      <c r="U106" s="21">
        <f t="shared" si="40"/>
        <v>1</v>
      </c>
      <c r="V106" s="21"/>
      <c r="W106" s="21"/>
      <c r="X106" s="22"/>
      <c r="Y106" s="21">
        <f t="shared" si="32"/>
        <v>0</v>
      </c>
      <c r="Z106" s="21"/>
      <c r="AA106" s="21"/>
      <c r="AB106" s="21"/>
      <c r="AC106" s="21"/>
      <c r="AD106" s="21">
        <f t="shared" si="38"/>
        <v>1</v>
      </c>
      <c r="AE106" s="21">
        <v>1</v>
      </c>
      <c r="AF106" s="21">
        <f t="shared" si="39"/>
        <v>1</v>
      </c>
    </row>
    <row r="107" spans="1:32" x14ac:dyDescent="0.2">
      <c r="A107" s="52"/>
      <c r="B107" s="52"/>
      <c r="C107" s="65"/>
      <c r="D107" s="60"/>
      <c r="E107" s="61"/>
      <c r="F107" s="61"/>
      <c r="G107" s="61"/>
      <c r="H107" s="61"/>
      <c r="I107" s="61">
        <f t="shared" si="41"/>
        <v>1</v>
      </c>
      <c r="J107" s="61">
        <v>1</v>
      </c>
      <c r="K107" s="21">
        <f t="shared" si="42"/>
        <v>1</v>
      </c>
      <c r="L107" s="27">
        <f t="shared" si="43"/>
        <v>1</v>
      </c>
      <c r="M107" s="27"/>
      <c r="N107" s="23"/>
      <c r="O107" s="21"/>
      <c r="P107" s="21"/>
      <c r="Q107" s="21"/>
      <c r="R107" s="21"/>
      <c r="S107" s="21">
        <f t="shared" si="36"/>
        <v>1</v>
      </c>
      <c r="T107" s="21">
        <v>1</v>
      </c>
      <c r="U107" s="21">
        <f t="shared" si="40"/>
        <v>1</v>
      </c>
      <c r="V107" s="21"/>
      <c r="W107" s="21"/>
      <c r="X107" s="22"/>
      <c r="Y107" s="21">
        <f t="shared" si="32"/>
        <v>0</v>
      </c>
      <c r="Z107" s="21"/>
      <c r="AA107" s="21"/>
      <c r="AB107" s="21"/>
      <c r="AC107" s="21"/>
      <c r="AD107" s="21">
        <f t="shared" si="38"/>
        <v>1</v>
      </c>
      <c r="AE107" s="21">
        <v>1</v>
      </c>
      <c r="AF107" s="21">
        <f t="shared" si="39"/>
        <v>1</v>
      </c>
    </row>
    <row r="108" spans="1:32" x14ac:dyDescent="0.2">
      <c r="A108" s="52"/>
      <c r="B108" s="52"/>
      <c r="C108" s="65"/>
      <c r="D108" s="60"/>
      <c r="E108" s="61"/>
      <c r="F108" s="61"/>
      <c r="G108" s="61"/>
      <c r="H108" s="61"/>
      <c r="I108" s="61">
        <f t="shared" si="41"/>
        <v>1</v>
      </c>
      <c r="J108" s="61">
        <v>1</v>
      </c>
      <c r="K108" s="21">
        <f t="shared" si="42"/>
        <v>1</v>
      </c>
      <c r="L108" s="27">
        <f t="shared" si="43"/>
        <v>1</v>
      </c>
      <c r="M108" s="27"/>
      <c r="N108" s="23"/>
      <c r="O108" s="21"/>
      <c r="P108" s="21"/>
      <c r="Q108" s="21"/>
      <c r="R108" s="21"/>
      <c r="S108" s="21">
        <f t="shared" si="36"/>
        <v>1</v>
      </c>
      <c r="T108" s="21">
        <v>1</v>
      </c>
      <c r="U108" s="21">
        <f t="shared" si="40"/>
        <v>1</v>
      </c>
      <c r="V108" s="21"/>
      <c r="W108" s="21"/>
      <c r="X108" s="22"/>
      <c r="Y108" s="21">
        <f t="shared" si="32"/>
        <v>0</v>
      </c>
      <c r="Z108" s="21"/>
      <c r="AA108" s="21"/>
      <c r="AB108" s="21"/>
      <c r="AC108" s="21"/>
      <c r="AD108" s="21">
        <f t="shared" si="38"/>
        <v>1</v>
      </c>
      <c r="AE108" s="21">
        <v>1</v>
      </c>
      <c r="AF108" s="21">
        <f t="shared" si="39"/>
        <v>1</v>
      </c>
    </row>
    <row r="109" spans="1:32" x14ac:dyDescent="0.2">
      <c r="A109" s="52"/>
      <c r="B109" s="52"/>
      <c r="C109" s="65"/>
      <c r="D109" s="60"/>
      <c r="E109" s="61"/>
      <c r="F109" s="61"/>
      <c r="G109" s="61"/>
      <c r="H109" s="61"/>
      <c r="I109" s="61">
        <f t="shared" si="41"/>
        <v>1</v>
      </c>
      <c r="J109" s="61">
        <v>1</v>
      </c>
      <c r="K109" s="21">
        <f t="shared" si="42"/>
        <v>1</v>
      </c>
      <c r="L109" s="27">
        <f t="shared" si="43"/>
        <v>1</v>
      </c>
      <c r="M109" s="27"/>
      <c r="N109" s="23"/>
      <c r="O109" s="21"/>
      <c r="P109" s="21"/>
      <c r="Q109" s="21"/>
      <c r="R109" s="21"/>
      <c r="S109" s="21">
        <f t="shared" si="36"/>
        <v>1</v>
      </c>
      <c r="T109" s="21">
        <v>1</v>
      </c>
      <c r="U109" s="21">
        <f t="shared" si="40"/>
        <v>1</v>
      </c>
      <c r="V109" s="21"/>
      <c r="W109" s="21"/>
      <c r="X109" s="22"/>
      <c r="Y109" s="21">
        <f t="shared" si="32"/>
        <v>0</v>
      </c>
      <c r="Z109" s="21"/>
      <c r="AA109" s="21"/>
      <c r="AB109" s="21"/>
      <c r="AC109" s="21"/>
      <c r="AD109" s="21">
        <f t="shared" si="38"/>
        <v>1</v>
      </c>
      <c r="AE109" s="21">
        <v>1</v>
      </c>
      <c r="AF109" s="21">
        <f t="shared" si="39"/>
        <v>1</v>
      </c>
    </row>
    <row r="110" spans="1:32" x14ac:dyDescent="0.2">
      <c r="A110" s="52"/>
      <c r="B110" s="52"/>
      <c r="C110" s="65"/>
      <c r="D110" s="60"/>
      <c r="E110" s="61"/>
      <c r="F110" s="61"/>
      <c r="G110" s="61"/>
      <c r="H110" s="61"/>
      <c r="I110" s="61">
        <f t="shared" si="41"/>
        <v>1</v>
      </c>
      <c r="J110" s="61">
        <v>1</v>
      </c>
      <c r="K110" s="21">
        <f t="shared" si="42"/>
        <v>1</v>
      </c>
      <c r="L110" s="27">
        <f t="shared" si="43"/>
        <v>1</v>
      </c>
      <c r="M110" s="27"/>
      <c r="N110" s="23"/>
      <c r="O110" s="21"/>
      <c r="P110" s="21"/>
      <c r="Q110" s="21"/>
      <c r="R110" s="21"/>
      <c r="S110" s="21">
        <f t="shared" si="36"/>
        <v>1</v>
      </c>
      <c r="T110" s="21">
        <v>1</v>
      </c>
      <c r="U110" s="21">
        <f t="shared" si="40"/>
        <v>1</v>
      </c>
      <c r="V110" s="21"/>
      <c r="W110" s="21"/>
      <c r="X110" s="22"/>
      <c r="Y110" s="21">
        <f t="shared" si="32"/>
        <v>0</v>
      </c>
      <c r="Z110" s="21"/>
      <c r="AA110" s="21"/>
      <c r="AB110" s="21"/>
      <c r="AC110" s="21"/>
      <c r="AD110" s="21">
        <f t="shared" si="38"/>
        <v>1</v>
      </c>
      <c r="AE110" s="21">
        <v>1</v>
      </c>
      <c r="AF110" s="21">
        <f t="shared" ref="AF110:AF134" si="44">INDEX(RiskMatrix,AD110,AE110)</f>
        <v>1</v>
      </c>
    </row>
    <row r="111" spans="1:32" x14ac:dyDescent="0.2">
      <c r="A111" s="52"/>
      <c r="B111" s="52"/>
      <c r="C111" s="65"/>
      <c r="D111" s="60"/>
      <c r="E111" s="61"/>
      <c r="F111" s="61"/>
      <c r="G111" s="61"/>
      <c r="H111" s="61"/>
      <c r="I111" s="61">
        <f t="shared" si="41"/>
        <v>1</v>
      </c>
      <c r="J111" s="61">
        <v>1</v>
      </c>
      <c r="K111" s="21">
        <f t="shared" si="42"/>
        <v>1</v>
      </c>
      <c r="L111" s="27">
        <f t="shared" si="43"/>
        <v>1</v>
      </c>
      <c r="M111" s="27"/>
      <c r="N111" s="23"/>
      <c r="O111" s="21"/>
      <c r="P111" s="21"/>
      <c r="Q111" s="21"/>
      <c r="R111" s="21"/>
      <c r="S111" s="21">
        <f t="shared" si="36"/>
        <v>1</v>
      </c>
      <c r="T111" s="21">
        <v>1</v>
      </c>
      <c r="U111" s="21">
        <f t="shared" si="40"/>
        <v>1</v>
      </c>
      <c r="V111" s="21"/>
      <c r="W111" s="21"/>
      <c r="X111" s="22"/>
      <c r="Y111" s="21">
        <f t="shared" si="32"/>
        <v>0</v>
      </c>
      <c r="Z111" s="21"/>
      <c r="AA111" s="21"/>
      <c r="AB111" s="21"/>
      <c r="AC111" s="21"/>
      <c r="AD111" s="21">
        <f t="shared" si="38"/>
        <v>1</v>
      </c>
      <c r="AE111" s="21">
        <v>1</v>
      </c>
      <c r="AF111" s="21">
        <f t="shared" si="44"/>
        <v>1</v>
      </c>
    </row>
    <row r="112" spans="1:32" x14ac:dyDescent="0.2">
      <c r="A112" s="52"/>
      <c r="B112" s="52"/>
      <c r="C112" s="65"/>
      <c r="D112" s="60"/>
      <c r="E112" s="61"/>
      <c r="F112" s="61"/>
      <c r="G112" s="61"/>
      <c r="H112" s="61"/>
      <c r="I112" s="61">
        <f t="shared" si="41"/>
        <v>1</v>
      </c>
      <c r="J112" s="61">
        <v>1</v>
      </c>
      <c r="K112" s="21">
        <f t="shared" si="42"/>
        <v>1</v>
      </c>
      <c r="L112" s="27">
        <f t="shared" si="43"/>
        <v>1</v>
      </c>
      <c r="M112" s="27"/>
      <c r="N112" s="23"/>
      <c r="O112" s="21"/>
      <c r="P112" s="21"/>
      <c r="Q112" s="21"/>
      <c r="R112" s="21"/>
      <c r="S112" s="21">
        <f t="shared" si="36"/>
        <v>1</v>
      </c>
      <c r="T112" s="21">
        <v>1</v>
      </c>
      <c r="U112" s="21">
        <f t="shared" si="40"/>
        <v>1</v>
      </c>
      <c r="V112" s="21"/>
      <c r="W112" s="21"/>
      <c r="X112" s="22"/>
      <c r="Y112" s="21">
        <f t="shared" si="32"/>
        <v>0</v>
      </c>
      <c r="Z112" s="21"/>
      <c r="AA112" s="21"/>
      <c r="AB112" s="21"/>
      <c r="AC112" s="21"/>
      <c r="AD112" s="21">
        <f t="shared" si="38"/>
        <v>1</v>
      </c>
      <c r="AE112" s="21">
        <v>1</v>
      </c>
      <c r="AF112" s="21">
        <f t="shared" si="44"/>
        <v>1</v>
      </c>
    </row>
    <row r="113" spans="1:32" x14ac:dyDescent="0.2">
      <c r="A113" s="52"/>
      <c r="B113" s="52"/>
      <c r="C113" s="65"/>
      <c r="D113" s="60"/>
      <c r="E113" s="61"/>
      <c r="F113" s="61"/>
      <c r="G113" s="61"/>
      <c r="H113" s="61"/>
      <c r="I113" s="61">
        <f t="shared" si="41"/>
        <v>1</v>
      </c>
      <c r="J113" s="61">
        <v>1</v>
      </c>
      <c r="K113" s="21">
        <f t="shared" si="42"/>
        <v>1</v>
      </c>
      <c r="L113" s="27">
        <f t="shared" si="43"/>
        <v>1</v>
      </c>
      <c r="M113" s="27"/>
      <c r="N113" s="23"/>
      <c r="O113" s="21"/>
      <c r="P113" s="21"/>
      <c r="Q113" s="21"/>
      <c r="R113" s="21"/>
      <c r="S113" s="21">
        <f t="shared" si="36"/>
        <v>1</v>
      </c>
      <c r="T113" s="21">
        <v>1</v>
      </c>
      <c r="U113" s="21">
        <f t="shared" si="40"/>
        <v>1</v>
      </c>
      <c r="V113" s="21"/>
      <c r="W113" s="21"/>
      <c r="X113" s="22"/>
      <c r="Y113" s="21">
        <f t="shared" si="32"/>
        <v>0</v>
      </c>
      <c r="Z113" s="21"/>
      <c r="AA113" s="21"/>
      <c r="AB113" s="21"/>
      <c r="AC113" s="21"/>
      <c r="AD113" s="21">
        <f t="shared" si="38"/>
        <v>1</v>
      </c>
      <c r="AE113" s="21">
        <v>1</v>
      </c>
      <c r="AF113" s="21">
        <f t="shared" si="44"/>
        <v>1</v>
      </c>
    </row>
    <row r="114" spans="1:32" x14ac:dyDescent="0.2">
      <c r="A114" s="52"/>
      <c r="B114" s="52"/>
      <c r="C114" s="65"/>
      <c r="D114" s="60"/>
      <c r="E114" s="61"/>
      <c r="F114" s="61"/>
      <c r="G114" s="61"/>
      <c r="H114" s="61"/>
      <c r="I114" s="61">
        <f t="shared" si="41"/>
        <v>1</v>
      </c>
      <c r="J114" s="61">
        <v>1</v>
      </c>
      <c r="K114" s="21">
        <f t="shared" si="42"/>
        <v>1</v>
      </c>
      <c r="L114" s="27">
        <f t="shared" si="43"/>
        <v>1</v>
      </c>
      <c r="M114" s="27"/>
      <c r="N114" s="23"/>
      <c r="O114" s="21"/>
      <c r="P114" s="21"/>
      <c r="Q114" s="21"/>
      <c r="R114" s="21"/>
      <c r="S114" s="21">
        <f t="shared" si="36"/>
        <v>1</v>
      </c>
      <c r="T114" s="21">
        <v>1</v>
      </c>
      <c r="U114" s="21">
        <f t="shared" si="40"/>
        <v>1</v>
      </c>
      <c r="V114" s="21"/>
      <c r="W114" s="21"/>
      <c r="X114" s="22"/>
      <c r="Y114" s="21">
        <f t="shared" si="32"/>
        <v>0</v>
      </c>
      <c r="Z114" s="21"/>
      <c r="AA114" s="21"/>
      <c r="AB114" s="21"/>
      <c r="AC114" s="21"/>
      <c r="AD114" s="21">
        <f t="shared" si="38"/>
        <v>1</v>
      </c>
      <c r="AE114" s="21">
        <v>1</v>
      </c>
      <c r="AF114" s="21">
        <f t="shared" si="44"/>
        <v>1</v>
      </c>
    </row>
    <row r="115" spans="1:32" x14ac:dyDescent="0.2">
      <c r="A115" s="52"/>
      <c r="B115" s="52"/>
      <c r="C115" s="65"/>
      <c r="D115" s="60"/>
      <c r="E115" s="61"/>
      <c r="F115" s="61"/>
      <c r="G115" s="61"/>
      <c r="H115" s="61"/>
      <c r="I115" s="61">
        <f t="shared" si="41"/>
        <v>1</v>
      </c>
      <c r="J115" s="61">
        <v>1</v>
      </c>
      <c r="K115" s="21">
        <f t="shared" si="42"/>
        <v>1</v>
      </c>
      <c r="L115" s="27">
        <f t="shared" si="43"/>
        <v>1</v>
      </c>
      <c r="M115" s="27"/>
      <c r="N115" s="23"/>
      <c r="O115" s="21"/>
      <c r="P115" s="21"/>
      <c r="Q115" s="21"/>
      <c r="R115" s="21"/>
      <c r="S115" s="21">
        <f t="shared" si="36"/>
        <v>1</v>
      </c>
      <c r="T115" s="21">
        <v>1</v>
      </c>
      <c r="U115" s="21">
        <f t="shared" si="40"/>
        <v>1</v>
      </c>
      <c r="V115" s="21"/>
      <c r="W115" s="21"/>
      <c r="X115" s="22"/>
      <c r="Y115" s="21">
        <f t="shared" si="32"/>
        <v>0</v>
      </c>
      <c r="Z115" s="21"/>
      <c r="AA115" s="21"/>
      <c r="AB115" s="21"/>
      <c r="AC115" s="21"/>
      <c r="AD115" s="21">
        <f t="shared" si="38"/>
        <v>1</v>
      </c>
      <c r="AE115" s="21">
        <v>1</v>
      </c>
      <c r="AF115" s="21">
        <f t="shared" si="44"/>
        <v>1</v>
      </c>
    </row>
    <row r="116" spans="1:32" x14ac:dyDescent="0.2">
      <c r="A116" s="52"/>
      <c r="B116" s="52"/>
      <c r="C116" s="65"/>
      <c r="D116" s="60"/>
      <c r="E116" s="61"/>
      <c r="F116" s="61"/>
      <c r="G116" s="61"/>
      <c r="H116" s="61"/>
      <c r="I116" s="61">
        <f t="shared" si="41"/>
        <v>1</v>
      </c>
      <c r="J116" s="61">
        <v>1</v>
      </c>
      <c r="K116" s="21">
        <f t="shared" si="42"/>
        <v>1</v>
      </c>
      <c r="L116" s="27">
        <f t="shared" si="43"/>
        <v>1</v>
      </c>
      <c r="M116" s="27"/>
      <c r="N116" s="23"/>
      <c r="O116" s="21"/>
      <c r="P116" s="21"/>
      <c r="Q116" s="21"/>
      <c r="R116" s="21"/>
      <c r="S116" s="21">
        <f t="shared" si="36"/>
        <v>1</v>
      </c>
      <c r="T116" s="21">
        <v>1</v>
      </c>
      <c r="U116" s="21">
        <f t="shared" si="40"/>
        <v>1</v>
      </c>
      <c r="V116" s="21"/>
      <c r="W116" s="21"/>
      <c r="X116" s="22"/>
      <c r="Y116" s="21"/>
      <c r="Z116" s="21"/>
      <c r="AA116" s="21"/>
      <c r="AB116" s="21"/>
      <c r="AC116" s="21"/>
      <c r="AD116" s="21">
        <f t="shared" si="38"/>
        <v>1</v>
      </c>
      <c r="AE116" s="21">
        <v>1</v>
      </c>
      <c r="AF116" s="21">
        <f t="shared" si="44"/>
        <v>1</v>
      </c>
    </row>
    <row r="117" spans="1:32" x14ac:dyDescent="0.2">
      <c r="A117" s="52"/>
      <c r="B117" s="52"/>
      <c r="C117" s="65"/>
      <c r="D117" s="60"/>
      <c r="E117" s="61"/>
      <c r="F117" s="61"/>
      <c r="G117" s="61"/>
      <c r="H117" s="61"/>
      <c r="I117" s="61">
        <f t="shared" si="41"/>
        <v>1</v>
      </c>
      <c r="J117" s="61">
        <v>1</v>
      </c>
      <c r="K117" s="21">
        <f t="shared" si="42"/>
        <v>1</v>
      </c>
      <c r="L117" s="27">
        <f t="shared" si="43"/>
        <v>1</v>
      </c>
      <c r="M117" s="27"/>
      <c r="N117" s="23"/>
      <c r="O117" s="21"/>
      <c r="P117" s="21"/>
      <c r="Q117" s="21"/>
      <c r="R117" s="21"/>
      <c r="S117" s="21">
        <f t="shared" si="36"/>
        <v>1</v>
      </c>
      <c r="T117" s="21">
        <v>1</v>
      </c>
      <c r="U117" s="21">
        <f t="shared" si="40"/>
        <v>1</v>
      </c>
      <c r="V117" s="21"/>
      <c r="W117" s="21"/>
      <c r="X117" s="22"/>
      <c r="Y117" s="21"/>
      <c r="Z117" s="21"/>
      <c r="AA117" s="21"/>
      <c r="AB117" s="21"/>
      <c r="AC117" s="21"/>
      <c r="AD117" s="21">
        <f t="shared" si="38"/>
        <v>1</v>
      </c>
      <c r="AE117" s="21">
        <v>1</v>
      </c>
      <c r="AF117" s="21">
        <f t="shared" si="44"/>
        <v>1</v>
      </c>
    </row>
    <row r="118" spans="1:32" x14ac:dyDescent="0.2">
      <c r="A118" s="52"/>
      <c r="B118" s="52"/>
      <c r="C118" s="65"/>
      <c r="D118" s="60"/>
      <c r="E118" s="61"/>
      <c r="F118" s="61"/>
      <c r="G118" s="61"/>
      <c r="H118" s="61"/>
      <c r="I118" s="61">
        <f t="shared" si="41"/>
        <v>1</v>
      </c>
      <c r="J118" s="61">
        <v>1</v>
      </c>
      <c r="K118" s="21">
        <f t="shared" si="42"/>
        <v>1</v>
      </c>
      <c r="L118" s="27">
        <f t="shared" si="43"/>
        <v>1</v>
      </c>
      <c r="M118" s="27"/>
      <c r="N118" s="23"/>
      <c r="O118" s="21"/>
      <c r="P118" s="21"/>
      <c r="Q118" s="21"/>
      <c r="R118" s="21"/>
      <c r="S118" s="21">
        <f t="shared" si="36"/>
        <v>1</v>
      </c>
      <c r="T118" s="21">
        <v>1</v>
      </c>
      <c r="U118" s="21">
        <f t="shared" si="40"/>
        <v>1</v>
      </c>
      <c r="V118" s="21"/>
      <c r="W118" s="21"/>
      <c r="X118" s="22"/>
      <c r="Y118" s="21"/>
      <c r="Z118" s="21"/>
      <c r="AA118" s="21"/>
      <c r="AB118" s="21"/>
      <c r="AC118" s="21"/>
      <c r="AD118" s="21">
        <f t="shared" si="38"/>
        <v>1</v>
      </c>
      <c r="AE118" s="21">
        <v>1</v>
      </c>
      <c r="AF118" s="21">
        <f t="shared" si="44"/>
        <v>1</v>
      </c>
    </row>
    <row r="119" spans="1:32" x14ac:dyDescent="0.2">
      <c r="A119" s="52"/>
      <c r="B119" s="52"/>
      <c r="C119" s="65"/>
      <c r="D119" s="60"/>
      <c r="E119" s="61"/>
      <c r="F119" s="61"/>
      <c r="G119" s="61"/>
      <c r="H119" s="61"/>
      <c r="I119" s="61">
        <f t="shared" si="41"/>
        <v>1</v>
      </c>
      <c r="J119" s="61">
        <v>1</v>
      </c>
      <c r="K119" s="21">
        <f t="shared" si="42"/>
        <v>1</v>
      </c>
      <c r="L119" s="27">
        <f t="shared" si="43"/>
        <v>1</v>
      </c>
      <c r="M119" s="27"/>
      <c r="N119" s="23"/>
      <c r="O119" s="21"/>
      <c r="P119" s="21"/>
      <c r="Q119" s="21"/>
      <c r="R119" s="21"/>
      <c r="S119" s="21">
        <f t="shared" si="36"/>
        <v>1</v>
      </c>
      <c r="T119" s="21">
        <v>1</v>
      </c>
      <c r="U119" s="21">
        <f t="shared" si="40"/>
        <v>1</v>
      </c>
      <c r="V119" s="21"/>
      <c r="W119" s="21"/>
      <c r="X119" s="22"/>
      <c r="Y119" s="21"/>
      <c r="Z119" s="21"/>
      <c r="AA119" s="21"/>
      <c r="AB119" s="21"/>
      <c r="AC119" s="21"/>
      <c r="AD119" s="21">
        <f t="shared" si="38"/>
        <v>1</v>
      </c>
      <c r="AE119" s="21">
        <v>1</v>
      </c>
      <c r="AF119" s="21">
        <f t="shared" si="44"/>
        <v>1</v>
      </c>
    </row>
    <row r="120" spans="1:32" x14ac:dyDescent="0.2">
      <c r="A120" s="52"/>
      <c r="B120" s="52"/>
      <c r="C120" s="60"/>
      <c r="D120" s="60"/>
      <c r="E120" s="61"/>
      <c r="F120" s="61"/>
      <c r="G120" s="61"/>
      <c r="H120" s="61"/>
      <c r="I120" s="61">
        <f t="shared" si="41"/>
        <v>1</v>
      </c>
      <c r="J120" s="61">
        <v>1</v>
      </c>
      <c r="K120" s="21">
        <f t="shared" si="42"/>
        <v>1</v>
      </c>
      <c r="L120" s="27">
        <f t="shared" si="43"/>
        <v>1</v>
      </c>
      <c r="M120" s="27"/>
      <c r="N120" s="23"/>
      <c r="O120" s="21"/>
      <c r="P120" s="21"/>
      <c r="Q120" s="21"/>
      <c r="R120" s="21"/>
      <c r="S120" s="21">
        <f t="shared" si="36"/>
        <v>1</v>
      </c>
      <c r="T120" s="21">
        <v>1</v>
      </c>
      <c r="U120" s="21">
        <f t="shared" si="40"/>
        <v>1</v>
      </c>
      <c r="V120" s="21"/>
      <c r="W120" s="21"/>
      <c r="X120" s="22"/>
      <c r="Y120" s="21"/>
      <c r="Z120" s="21"/>
      <c r="AA120" s="21"/>
      <c r="AB120" s="21"/>
      <c r="AC120" s="21"/>
      <c r="AD120" s="21">
        <f t="shared" si="38"/>
        <v>1</v>
      </c>
      <c r="AE120" s="21">
        <v>1</v>
      </c>
      <c r="AF120" s="21">
        <f t="shared" si="44"/>
        <v>1</v>
      </c>
    </row>
    <row r="121" spans="1:32" x14ac:dyDescent="0.2">
      <c r="A121" s="52"/>
      <c r="B121" s="52"/>
      <c r="C121" s="60"/>
      <c r="D121" s="60"/>
      <c r="E121" s="61"/>
      <c r="F121" s="61"/>
      <c r="G121" s="61"/>
      <c r="H121" s="61"/>
      <c r="I121" s="61">
        <f t="shared" si="41"/>
        <v>1</v>
      </c>
      <c r="J121" s="61">
        <v>1</v>
      </c>
      <c r="K121" s="21">
        <f t="shared" si="42"/>
        <v>1</v>
      </c>
      <c r="L121" s="27">
        <f t="shared" si="43"/>
        <v>1</v>
      </c>
      <c r="M121" s="27"/>
      <c r="N121" s="23"/>
      <c r="O121" s="21"/>
      <c r="P121" s="21"/>
      <c r="Q121" s="21"/>
      <c r="R121" s="21"/>
      <c r="S121" s="21">
        <f t="shared" si="36"/>
        <v>1</v>
      </c>
      <c r="T121" s="21">
        <v>1</v>
      </c>
      <c r="U121" s="21">
        <f t="shared" si="40"/>
        <v>1</v>
      </c>
      <c r="V121" s="21"/>
      <c r="W121" s="21"/>
      <c r="X121" s="22"/>
      <c r="Y121" s="21"/>
      <c r="Z121" s="21"/>
      <c r="AA121" s="21"/>
      <c r="AB121" s="21"/>
      <c r="AC121" s="21"/>
      <c r="AD121" s="21">
        <f t="shared" si="38"/>
        <v>1</v>
      </c>
      <c r="AE121" s="21">
        <v>1</v>
      </c>
      <c r="AF121" s="21">
        <f t="shared" si="44"/>
        <v>1</v>
      </c>
    </row>
    <row r="122" spans="1:32" x14ac:dyDescent="0.2">
      <c r="A122" s="52"/>
      <c r="B122" s="52"/>
      <c r="C122" s="60"/>
      <c r="D122" s="52"/>
      <c r="E122" s="21"/>
      <c r="F122" s="21"/>
      <c r="G122" s="21"/>
      <c r="H122" s="21"/>
      <c r="I122" s="21">
        <f t="shared" si="41"/>
        <v>1</v>
      </c>
      <c r="J122" s="21">
        <v>1</v>
      </c>
      <c r="K122" s="21">
        <f t="shared" si="42"/>
        <v>1</v>
      </c>
      <c r="L122" s="27">
        <f t="shared" si="43"/>
        <v>1</v>
      </c>
      <c r="M122" s="27"/>
      <c r="N122" s="23"/>
      <c r="O122" s="21"/>
      <c r="P122" s="21"/>
      <c r="Q122" s="21"/>
      <c r="R122" s="21"/>
      <c r="S122" s="21">
        <f t="shared" si="36"/>
        <v>1</v>
      </c>
      <c r="T122" s="21">
        <v>1</v>
      </c>
      <c r="U122" s="21">
        <f t="shared" si="40"/>
        <v>1</v>
      </c>
      <c r="V122" s="21"/>
      <c r="W122" s="21"/>
      <c r="X122" s="22"/>
      <c r="Y122" s="21"/>
      <c r="Z122" s="21"/>
      <c r="AA122" s="21"/>
      <c r="AB122" s="21"/>
      <c r="AC122" s="21"/>
      <c r="AD122" s="21">
        <f t="shared" si="38"/>
        <v>1</v>
      </c>
      <c r="AE122" s="21">
        <v>1</v>
      </c>
      <c r="AF122" s="21">
        <f t="shared" si="44"/>
        <v>1</v>
      </c>
    </row>
    <row r="123" spans="1:32" x14ac:dyDescent="0.2">
      <c r="A123" s="52"/>
      <c r="B123" s="52"/>
      <c r="C123" s="60"/>
      <c r="D123" s="52"/>
      <c r="E123" s="21"/>
      <c r="F123" s="21"/>
      <c r="G123" s="21"/>
      <c r="H123" s="21"/>
      <c r="I123" s="21">
        <f t="shared" si="41"/>
        <v>1</v>
      </c>
      <c r="J123" s="21">
        <v>1</v>
      </c>
      <c r="K123" s="21">
        <f t="shared" si="42"/>
        <v>1</v>
      </c>
      <c r="L123" s="27">
        <f t="shared" si="43"/>
        <v>1</v>
      </c>
      <c r="M123" s="27"/>
      <c r="N123" s="23"/>
      <c r="O123" s="21"/>
      <c r="P123" s="21"/>
      <c r="Q123" s="21"/>
      <c r="R123" s="21"/>
      <c r="S123" s="21">
        <f t="shared" si="36"/>
        <v>1</v>
      </c>
      <c r="T123" s="21">
        <v>1</v>
      </c>
      <c r="U123" s="21">
        <f t="shared" si="40"/>
        <v>1</v>
      </c>
      <c r="V123" s="21"/>
      <c r="W123" s="21"/>
      <c r="X123" s="22"/>
      <c r="Y123" s="21"/>
      <c r="Z123" s="21"/>
      <c r="AA123" s="21"/>
      <c r="AB123" s="21"/>
      <c r="AC123" s="21"/>
      <c r="AD123" s="21">
        <f t="shared" si="38"/>
        <v>1</v>
      </c>
      <c r="AE123" s="21">
        <v>1</v>
      </c>
      <c r="AF123" s="21">
        <f t="shared" si="44"/>
        <v>1</v>
      </c>
    </row>
    <row r="124" spans="1:32" x14ac:dyDescent="0.2">
      <c r="A124" s="52"/>
      <c r="B124" s="52"/>
      <c r="C124" s="60"/>
      <c r="D124" s="52"/>
      <c r="E124" s="21"/>
      <c r="F124" s="21"/>
      <c r="G124" s="21"/>
      <c r="H124" s="21"/>
      <c r="I124" s="21">
        <f t="shared" si="41"/>
        <v>1</v>
      </c>
      <c r="J124" s="21">
        <v>1</v>
      </c>
      <c r="K124" s="21">
        <f t="shared" si="42"/>
        <v>1</v>
      </c>
      <c r="L124" s="27">
        <f t="shared" si="43"/>
        <v>1</v>
      </c>
      <c r="M124" s="27"/>
      <c r="N124" s="23"/>
      <c r="O124" s="21"/>
      <c r="P124" s="21"/>
      <c r="Q124" s="21"/>
      <c r="R124" s="21"/>
      <c r="S124" s="21">
        <f t="shared" si="36"/>
        <v>1</v>
      </c>
      <c r="T124" s="21">
        <v>1</v>
      </c>
      <c r="U124" s="21">
        <f t="shared" si="40"/>
        <v>1</v>
      </c>
      <c r="V124" s="21"/>
      <c r="W124" s="21"/>
      <c r="X124" s="22"/>
      <c r="Y124" s="21"/>
      <c r="Z124" s="21"/>
      <c r="AA124" s="21"/>
      <c r="AB124" s="21"/>
      <c r="AC124" s="21"/>
      <c r="AD124" s="21">
        <f t="shared" si="38"/>
        <v>1</v>
      </c>
      <c r="AE124" s="21">
        <v>1</v>
      </c>
      <c r="AF124" s="21">
        <f t="shared" si="44"/>
        <v>1</v>
      </c>
    </row>
    <row r="125" spans="1:32" x14ac:dyDescent="0.2">
      <c r="A125" s="52"/>
      <c r="B125" s="52"/>
      <c r="C125" s="60"/>
      <c r="D125" s="52"/>
      <c r="E125" s="21"/>
      <c r="F125" s="21"/>
      <c r="G125" s="21"/>
      <c r="H125" s="21"/>
      <c r="I125" s="21">
        <f t="shared" si="41"/>
        <v>1</v>
      </c>
      <c r="J125" s="21">
        <v>1</v>
      </c>
      <c r="K125" s="21">
        <f t="shared" si="42"/>
        <v>1</v>
      </c>
      <c r="L125" s="27">
        <f t="shared" si="43"/>
        <v>1</v>
      </c>
      <c r="M125" s="27"/>
      <c r="N125" s="23"/>
      <c r="O125" s="21"/>
      <c r="P125" s="21"/>
      <c r="Q125" s="21"/>
      <c r="R125" s="21"/>
      <c r="S125" s="21">
        <f t="shared" si="36"/>
        <v>1</v>
      </c>
      <c r="T125" s="21">
        <v>1</v>
      </c>
      <c r="U125" s="21">
        <f t="shared" si="40"/>
        <v>1</v>
      </c>
      <c r="V125" s="21"/>
      <c r="W125" s="21"/>
      <c r="X125" s="22"/>
      <c r="Y125" s="76"/>
      <c r="Z125" s="21"/>
      <c r="AA125" s="21"/>
      <c r="AB125" s="21"/>
      <c r="AC125" s="21"/>
      <c r="AD125" s="21">
        <f t="shared" si="38"/>
        <v>1</v>
      </c>
      <c r="AE125" s="21">
        <v>1</v>
      </c>
      <c r="AF125" s="21">
        <f t="shared" si="44"/>
        <v>1</v>
      </c>
    </row>
    <row r="126" spans="1:32" x14ac:dyDescent="0.2">
      <c r="A126" s="52"/>
      <c r="B126" s="52"/>
      <c r="C126" s="60"/>
      <c r="D126" s="52"/>
      <c r="E126" s="21"/>
      <c r="F126" s="21"/>
      <c r="G126" s="21"/>
      <c r="H126" s="21"/>
      <c r="I126" s="21">
        <f t="shared" si="41"/>
        <v>1</v>
      </c>
      <c r="J126" s="21">
        <v>1</v>
      </c>
      <c r="K126" s="21">
        <f t="shared" si="42"/>
        <v>1</v>
      </c>
      <c r="L126" s="27">
        <f t="shared" si="43"/>
        <v>1</v>
      </c>
      <c r="M126" s="27"/>
      <c r="N126" s="23"/>
      <c r="O126" s="21"/>
      <c r="P126" s="21"/>
      <c r="Q126" s="21"/>
      <c r="R126" s="21"/>
      <c r="S126" s="21">
        <f t="shared" si="36"/>
        <v>1</v>
      </c>
      <c r="T126" s="21">
        <v>1</v>
      </c>
      <c r="U126" s="21">
        <f t="shared" si="40"/>
        <v>1</v>
      </c>
      <c r="V126" s="21"/>
      <c r="W126" s="21"/>
      <c r="X126" s="22"/>
      <c r="Y126" s="76"/>
      <c r="Z126" s="21"/>
      <c r="AA126" s="21"/>
      <c r="AB126" s="21"/>
      <c r="AC126" s="21"/>
      <c r="AD126" s="21">
        <f t="shared" si="38"/>
        <v>1</v>
      </c>
      <c r="AE126" s="21">
        <v>1</v>
      </c>
      <c r="AF126" s="21">
        <f t="shared" si="44"/>
        <v>1</v>
      </c>
    </row>
    <row r="127" spans="1:32" x14ac:dyDescent="0.2">
      <c r="A127" s="52"/>
      <c r="B127" s="52"/>
      <c r="C127" s="60"/>
      <c r="D127" s="52"/>
      <c r="E127" s="21"/>
      <c r="F127" s="21"/>
      <c r="G127" s="21"/>
      <c r="H127" s="21"/>
      <c r="I127" s="21">
        <f t="shared" si="41"/>
        <v>1</v>
      </c>
      <c r="J127" s="21">
        <v>1</v>
      </c>
      <c r="K127" s="21">
        <f t="shared" si="42"/>
        <v>1</v>
      </c>
      <c r="L127" s="27">
        <f t="shared" si="43"/>
        <v>1</v>
      </c>
      <c r="M127" s="27"/>
      <c r="N127" s="23"/>
      <c r="O127" s="21"/>
      <c r="P127" s="21"/>
      <c r="Q127" s="21"/>
      <c r="R127" s="21"/>
      <c r="S127" s="21">
        <f t="shared" si="36"/>
        <v>1</v>
      </c>
      <c r="T127" s="21">
        <v>1</v>
      </c>
      <c r="U127" s="21">
        <f t="shared" si="40"/>
        <v>1</v>
      </c>
      <c r="V127" s="21"/>
      <c r="W127" s="21"/>
      <c r="X127" s="22"/>
      <c r="Y127" s="76"/>
      <c r="Z127" s="21"/>
      <c r="AA127" s="21"/>
      <c r="AB127" s="21"/>
      <c r="AC127" s="21"/>
      <c r="AD127" s="21">
        <f t="shared" si="38"/>
        <v>1</v>
      </c>
      <c r="AE127" s="21">
        <v>1</v>
      </c>
      <c r="AF127" s="21">
        <f t="shared" si="44"/>
        <v>1</v>
      </c>
    </row>
    <row r="128" spans="1:32" x14ac:dyDescent="0.2">
      <c r="A128" s="52"/>
      <c r="B128" s="52"/>
      <c r="C128" s="60"/>
      <c r="D128" s="52"/>
      <c r="E128" s="21"/>
      <c r="F128" s="21"/>
      <c r="G128" s="21"/>
      <c r="H128" s="21"/>
      <c r="I128" s="21">
        <f t="shared" si="41"/>
        <v>1</v>
      </c>
      <c r="J128" s="21">
        <v>1</v>
      </c>
      <c r="K128" s="21">
        <f t="shared" si="42"/>
        <v>1</v>
      </c>
      <c r="L128" s="27">
        <f t="shared" si="43"/>
        <v>1</v>
      </c>
      <c r="M128" s="27"/>
      <c r="N128" s="23"/>
      <c r="O128" s="21"/>
      <c r="P128" s="21"/>
      <c r="Q128" s="21"/>
      <c r="R128" s="21"/>
      <c r="S128" s="21">
        <f t="shared" si="36"/>
        <v>1</v>
      </c>
      <c r="T128" s="21">
        <v>1</v>
      </c>
      <c r="U128" s="21">
        <f t="shared" si="40"/>
        <v>1</v>
      </c>
      <c r="V128" s="21"/>
      <c r="W128" s="21"/>
      <c r="X128" s="22"/>
      <c r="Y128" s="76"/>
      <c r="Z128" s="21"/>
      <c r="AA128" s="21"/>
      <c r="AB128" s="21"/>
      <c r="AC128" s="21"/>
      <c r="AD128" s="21">
        <f t="shared" si="38"/>
        <v>1</v>
      </c>
      <c r="AE128" s="21">
        <v>1</v>
      </c>
      <c r="AF128" s="21">
        <f t="shared" si="44"/>
        <v>1</v>
      </c>
    </row>
    <row r="129" spans="1:32" x14ac:dyDescent="0.2">
      <c r="A129" s="52"/>
      <c r="B129" s="52"/>
      <c r="C129" s="52"/>
      <c r="D129" s="52"/>
      <c r="E129" s="21"/>
      <c r="F129" s="21"/>
      <c r="G129" s="21"/>
      <c r="H129" s="21"/>
      <c r="I129" s="21">
        <f t="shared" si="41"/>
        <v>1</v>
      </c>
      <c r="J129" s="21">
        <v>1</v>
      </c>
      <c r="K129" s="21">
        <f t="shared" si="42"/>
        <v>1</v>
      </c>
      <c r="L129" s="27">
        <f t="shared" si="43"/>
        <v>1</v>
      </c>
      <c r="M129" s="27"/>
      <c r="N129" s="23"/>
      <c r="O129" s="21"/>
      <c r="P129" s="21"/>
      <c r="Q129" s="21"/>
      <c r="R129" s="21"/>
      <c r="S129" s="21">
        <f t="shared" si="36"/>
        <v>1</v>
      </c>
      <c r="T129" s="21">
        <v>1</v>
      </c>
      <c r="U129" s="21">
        <f t="shared" si="40"/>
        <v>1</v>
      </c>
      <c r="V129" s="21"/>
      <c r="W129" s="21"/>
      <c r="X129" s="22"/>
      <c r="Y129" s="76"/>
      <c r="Z129" s="21"/>
      <c r="AA129" s="21"/>
      <c r="AB129" s="21"/>
      <c r="AC129" s="21"/>
      <c r="AD129" s="21">
        <f t="shared" si="38"/>
        <v>1</v>
      </c>
      <c r="AE129" s="21">
        <v>1</v>
      </c>
      <c r="AF129" s="21">
        <f t="shared" si="44"/>
        <v>1</v>
      </c>
    </row>
    <row r="130" spans="1:32" x14ac:dyDescent="0.2">
      <c r="A130" s="52"/>
      <c r="B130" s="52"/>
      <c r="C130" s="52"/>
      <c r="D130" s="52"/>
      <c r="E130" s="21"/>
      <c r="F130" s="21"/>
      <c r="G130" s="21"/>
      <c r="H130" s="21"/>
      <c r="I130" s="21">
        <f t="shared" si="41"/>
        <v>1</v>
      </c>
      <c r="J130" s="21">
        <v>1</v>
      </c>
      <c r="K130" s="21">
        <f t="shared" si="42"/>
        <v>1</v>
      </c>
      <c r="L130" s="27">
        <f t="shared" si="43"/>
        <v>1</v>
      </c>
      <c r="M130" s="27"/>
      <c r="N130" s="23"/>
      <c r="O130" s="21"/>
      <c r="P130" s="21"/>
      <c r="Q130" s="21"/>
      <c r="R130" s="21"/>
      <c r="S130" s="21">
        <f t="shared" si="36"/>
        <v>1</v>
      </c>
      <c r="T130" s="21">
        <v>1</v>
      </c>
      <c r="U130" s="21">
        <f t="shared" si="40"/>
        <v>1</v>
      </c>
      <c r="V130" s="21"/>
      <c r="W130" s="21"/>
      <c r="X130" s="22"/>
      <c r="Y130" s="76"/>
      <c r="Z130" s="21"/>
      <c r="AA130" s="21"/>
      <c r="AB130" s="21"/>
      <c r="AC130" s="21"/>
      <c r="AD130" s="21">
        <f t="shared" si="38"/>
        <v>1</v>
      </c>
      <c r="AE130" s="21">
        <v>1</v>
      </c>
      <c r="AF130" s="21">
        <f t="shared" si="44"/>
        <v>1</v>
      </c>
    </row>
    <row r="131" spans="1:32" x14ac:dyDescent="0.2">
      <c r="A131" s="52"/>
      <c r="B131" s="52"/>
      <c r="C131" s="52"/>
      <c r="D131" s="52"/>
      <c r="E131" s="21"/>
      <c r="F131" s="21"/>
      <c r="G131" s="21"/>
      <c r="H131" s="21"/>
      <c r="I131" s="21">
        <f t="shared" si="41"/>
        <v>1</v>
      </c>
      <c r="J131" s="21">
        <v>1</v>
      </c>
      <c r="K131" s="21">
        <f t="shared" si="42"/>
        <v>1</v>
      </c>
      <c r="L131" s="27">
        <f t="shared" si="43"/>
        <v>1</v>
      </c>
      <c r="M131" s="27"/>
      <c r="N131" s="23"/>
      <c r="O131" s="21"/>
      <c r="P131" s="21"/>
      <c r="Q131" s="21"/>
      <c r="R131" s="21"/>
      <c r="S131" s="21">
        <f t="shared" si="36"/>
        <v>1</v>
      </c>
      <c r="T131" s="21">
        <v>1</v>
      </c>
      <c r="U131" s="21">
        <f t="shared" ref="U131:U134" si="45">INDEX(RiskMatrix,I131,T131)</f>
        <v>1</v>
      </c>
      <c r="V131" s="21"/>
      <c r="W131" s="21"/>
      <c r="X131" s="22"/>
      <c r="Y131" s="76"/>
      <c r="Z131" s="21"/>
      <c r="AA131" s="21"/>
      <c r="AB131" s="21"/>
      <c r="AC131" s="21"/>
      <c r="AD131" s="21">
        <f t="shared" si="38"/>
        <v>1</v>
      </c>
      <c r="AE131" s="21">
        <v>1</v>
      </c>
      <c r="AF131" s="21">
        <f t="shared" si="44"/>
        <v>1</v>
      </c>
    </row>
    <row r="132" spans="1:32" x14ac:dyDescent="0.2">
      <c r="A132" s="52"/>
      <c r="B132" s="52"/>
      <c r="C132" s="52"/>
      <c r="D132" s="52"/>
      <c r="E132" s="21"/>
      <c r="F132" s="21"/>
      <c r="G132" s="21"/>
      <c r="H132" s="21"/>
      <c r="I132" s="21">
        <f t="shared" si="41"/>
        <v>1</v>
      </c>
      <c r="J132" s="21">
        <v>1</v>
      </c>
      <c r="K132" s="21">
        <f t="shared" si="42"/>
        <v>1</v>
      </c>
      <c r="L132" s="27">
        <f t="shared" si="43"/>
        <v>1</v>
      </c>
      <c r="M132" s="27"/>
      <c r="N132" s="23"/>
      <c r="O132" s="21"/>
      <c r="P132" s="21"/>
      <c r="Q132" s="21"/>
      <c r="R132" s="21"/>
      <c r="S132" s="21">
        <f t="shared" si="36"/>
        <v>1</v>
      </c>
      <c r="T132" s="21">
        <v>1</v>
      </c>
      <c r="U132" s="21">
        <f t="shared" si="45"/>
        <v>1</v>
      </c>
      <c r="V132" s="21"/>
      <c r="W132" s="21"/>
      <c r="X132" s="22"/>
      <c r="Y132" s="76"/>
      <c r="Z132" s="21"/>
      <c r="AA132" s="21"/>
      <c r="AB132" s="21"/>
      <c r="AC132" s="21"/>
      <c r="AD132" s="21">
        <f t="shared" si="38"/>
        <v>1</v>
      </c>
      <c r="AE132" s="21">
        <v>1</v>
      </c>
      <c r="AF132" s="21">
        <f t="shared" si="44"/>
        <v>1</v>
      </c>
    </row>
    <row r="133" spans="1:32" x14ac:dyDescent="0.2">
      <c r="A133" s="52"/>
      <c r="B133" s="52"/>
      <c r="C133" s="52"/>
      <c r="D133" s="52"/>
      <c r="E133" s="21"/>
      <c r="F133" s="21"/>
      <c r="G133" s="21"/>
      <c r="H133" s="21"/>
      <c r="I133" s="21">
        <f t="shared" si="41"/>
        <v>1</v>
      </c>
      <c r="J133" s="21">
        <v>1</v>
      </c>
      <c r="K133" s="21">
        <f t="shared" si="42"/>
        <v>1</v>
      </c>
      <c r="L133" s="27">
        <f t="shared" si="43"/>
        <v>1</v>
      </c>
      <c r="M133" s="27"/>
      <c r="N133" s="23"/>
      <c r="O133" s="21"/>
      <c r="P133" s="21"/>
      <c r="Q133" s="21"/>
      <c r="R133" s="21"/>
      <c r="S133" s="21">
        <f t="shared" si="36"/>
        <v>1</v>
      </c>
      <c r="T133" s="21">
        <v>1</v>
      </c>
      <c r="U133" s="21">
        <f t="shared" si="45"/>
        <v>1</v>
      </c>
      <c r="V133" s="21"/>
      <c r="W133" s="21"/>
      <c r="X133" s="22"/>
      <c r="Y133" s="76"/>
      <c r="Z133" s="21"/>
      <c r="AA133" s="21"/>
      <c r="AB133" s="21"/>
      <c r="AC133" s="21"/>
      <c r="AD133" s="21">
        <f t="shared" si="38"/>
        <v>1</v>
      </c>
      <c r="AE133" s="21">
        <v>1</v>
      </c>
      <c r="AF133" s="21">
        <f t="shared" si="44"/>
        <v>1</v>
      </c>
    </row>
    <row r="134" spans="1:32" x14ac:dyDescent="0.2">
      <c r="A134" s="52"/>
      <c r="B134" s="52"/>
      <c r="C134" s="52"/>
      <c r="D134" s="52"/>
      <c r="E134" s="21"/>
      <c r="F134" s="21"/>
      <c r="G134" s="21"/>
      <c r="H134" s="21"/>
      <c r="I134" s="21">
        <f t="shared" si="41"/>
        <v>1</v>
      </c>
      <c r="J134" s="21">
        <v>1</v>
      </c>
      <c r="K134" s="21">
        <f t="shared" si="42"/>
        <v>1</v>
      </c>
      <c r="L134" s="27">
        <f t="shared" si="43"/>
        <v>1</v>
      </c>
      <c r="M134" s="27"/>
      <c r="N134" s="23"/>
      <c r="O134" s="21"/>
      <c r="P134" s="21"/>
      <c r="Q134" s="21"/>
      <c r="R134" s="21"/>
      <c r="S134" s="21">
        <f t="shared" si="36"/>
        <v>1</v>
      </c>
      <c r="T134" s="21">
        <v>1</v>
      </c>
      <c r="U134" s="21">
        <f t="shared" si="45"/>
        <v>1</v>
      </c>
      <c r="V134" s="21"/>
      <c r="W134" s="21"/>
      <c r="X134" s="22"/>
      <c r="Y134" s="76"/>
      <c r="Z134" s="21"/>
      <c r="AA134" s="21"/>
      <c r="AB134" s="21"/>
      <c r="AC134" s="21"/>
      <c r="AD134" s="21">
        <f t="shared" si="38"/>
        <v>1</v>
      </c>
      <c r="AE134" s="21">
        <v>1</v>
      </c>
      <c r="AF134" s="21">
        <f t="shared" si="44"/>
        <v>1</v>
      </c>
    </row>
    <row r="135" spans="1:32" x14ac:dyDescent="0.2">
      <c r="E135" s="19"/>
      <c r="F135" s="19"/>
      <c r="G135" s="19"/>
      <c r="H135" s="19"/>
      <c r="I135" s="19"/>
      <c r="K135" s="19"/>
      <c r="L135" s="19"/>
      <c r="M135" s="19"/>
      <c r="O135" s="19"/>
      <c r="P135" s="19"/>
      <c r="Q135" s="19"/>
      <c r="R135" s="19"/>
      <c r="S135" s="19"/>
      <c r="U135" s="19"/>
      <c r="V135" s="19"/>
      <c r="W135" s="19"/>
      <c r="X135" s="19"/>
      <c r="Y135" s="77"/>
      <c r="Z135" s="19"/>
      <c r="AA135" s="19"/>
      <c r="AB135" s="19"/>
      <c r="AC135" s="19"/>
      <c r="AD135" s="19"/>
    </row>
    <row r="136" spans="1:32" x14ac:dyDescent="0.2">
      <c r="E136" s="19"/>
      <c r="F136" s="19"/>
      <c r="G136" s="19"/>
      <c r="H136" s="19"/>
      <c r="I136" s="19"/>
      <c r="K136" s="19"/>
      <c r="L136" s="19"/>
      <c r="M136" s="19"/>
      <c r="O136" s="19"/>
      <c r="P136" s="19"/>
      <c r="Q136" s="19"/>
      <c r="R136" s="19"/>
      <c r="S136" s="19"/>
      <c r="U136" s="19"/>
      <c r="V136" s="19"/>
      <c r="W136" s="19"/>
      <c r="X136" s="19"/>
      <c r="Y136" s="77"/>
      <c r="Z136" s="19"/>
      <c r="AA136" s="19"/>
      <c r="AB136" s="19"/>
      <c r="AC136" s="19"/>
      <c r="AD136" s="19"/>
    </row>
    <row r="137" spans="1:32" x14ac:dyDescent="0.2">
      <c r="E137" s="19"/>
      <c r="F137" s="19"/>
      <c r="G137" s="19"/>
      <c r="H137" s="19"/>
      <c r="I137" s="19"/>
      <c r="K137" s="19"/>
      <c r="L137" s="19"/>
      <c r="M137" s="19"/>
      <c r="O137" s="19"/>
      <c r="P137" s="19"/>
      <c r="Q137" s="19"/>
      <c r="R137" s="19"/>
      <c r="S137" s="19"/>
      <c r="U137" s="19"/>
      <c r="V137" s="19"/>
      <c r="W137" s="19"/>
      <c r="X137" s="19"/>
      <c r="Y137" s="77"/>
      <c r="Z137" s="19"/>
      <c r="AA137" s="19"/>
      <c r="AB137" s="19"/>
      <c r="AC137" s="19"/>
      <c r="AD137" s="19"/>
    </row>
    <row r="138" spans="1:32" x14ac:dyDescent="0.2">
      <c r="E138" s="19"/>
      <c r="F138" s="19"/>
      <c r="G138" s="19"/>
      <c r="H138" s="19"/>
      <c r="I138" s="19"/>
      <c r="K138" s="19"/>
      <c r="L138" s="19"/>
      <c r="M138" s="19"/>
      <c r="O138" s="19"/>
      <c r="P138" s="19"/>
      <c r="Q138" s="19"/>
      <c r="R138" s="19"/>
      <c r="S138" s="19"/>
      <c r="U138" s="19"/>
      <c r="V138" s="19"/>
      <c r="W138" s="19"/>
      <c r="X138" s="19"/>
      <c r="Y138" s="77"/>
      <c r="Z138" s="19"/>
      <c r="AA138" s="19"/>
      <c r="AB138" s="19"/>
      <c r="AC138" s="19"/>
      <c r="AD138" s="19"/>
    </row>
    <row r="139" spans="1:32" x14ac:dyDescent="0.2">
      <c r="E139" s="19"/>
      <c r="F139" s="19"/>
      <c r="G139" s="19"/>
      <c r="H139" s="19"/>
      <c r="I139" s="19"/>
      <c r="K139" s="19"/>
      <c r="L139" s="19"/>
      <c r="M139" s="19"/>
      <c r="O139" s="19"/>
      <c r="P139" s="19"/>
      <c r="Q139" s="19"/>
      <c r="R139" s="19"/>
      <c r="S139" s="19"/>
      <c r="U139" s="19"/>
      <c r="V139" s="19"/>
      <c r="W139" s="19"/>
      <c r="X139" s="19"/>
      <c r="Y139" s="77"/>
      <c r="Z139" s="19"/>
      <c r="AA139" s="19"/>
      <c r="AB139" s="19"/>
      <c r="AC139" s="19"/>
      <c r="AD139" s="19"/>
    </row>
  </sheetData>
  <mergeCells count="22">
    <mergeCell ref="A3:A104"/>
    <mergeCell ref="B52:B62"/>
    <mergeCell ref="B63:B75"/>
    <mergeCell ref="D3:D11"/>
    <mergeCell ref="D12:D23"/>
    <mergeCell ref="D24:D37"/>
    <mergeCell ref="D38:D51"/>
    <mergeCell ref="D52:D62"/>
    <mergeCell ref="D76:D82"/>
    <mergeCell ref="B97:B104"/>
    <mergeCell ref="B83:B89"/>
    <mergeCell ref="B90:B96"/>
    <mergeCell ref="B3:B11"/>
    <mergeCell ref="B12:B23"/>
    <mergeCell ref="Z1:AD1"/>
    <mergeCell ref="B76:B82"/>
    <mergeCell ref="E1:I1"/>
    <mergeCell ref="D1:D2"/>
    <mergeCell ref="O1:S1"/>
    <mergeCell ref="B24:B37"/>
    <mergeCell ref="B38:B51"/>
    <mergeCell ref="M3:M105"/>
  </mergeCells>
  <conditionalFormatting sqref="L1:M1">
    <cfRule type="cellIs" dxfId="7" priority="1" operator="between">
      <formula>21</formula>
      <formula>25</formula>
    </cfRule>
    <cfRule type="cellIs" dxfId="6" priority="2" operator="between">
      <formula>15</formula>
      <formula>20</formula>
    </cfRule>
    <cfRule type="cellIs" dxfId="5" priority="3" operator="between">
      <formula>7</formula>
      <formula>14</formula>
    </cfRule>
    <cfRule type="cellIs" dxfId="4" priority="4" operator="between">
      <formula>1</formula>
      <formula>6</formula>
    </cfRule>
  </conditionalFormatting>
  <conditionalFormatting sqref="U1:U20 K1:K1048576 AF1:AF1048576 W2 U21:V92 U93:W1048576">
    <cfRule type="cellIs" dxfId="3" priority="5" operator="between">
      <formula>21</formula>
      <formula>25</formula>
    </cfRule>
    <cfRule type="cellIs" dxfId="2" priority="6" operator="between">
      <formula>15</formula>
      <formula>20</formula>
    </cfRule>
    <cfRule type="cellIs" dxfId="1" priority="7" operator="between">
      <formula>7</formula>
      <formula>14</formula>
    </cfRule>
    <cfRule type="cellIs" dxfId="0" priority="8" operator="between">
      <formula>1</formula>
      <formula>6</formula>
    </cfRule>
  </conditionalFormatting>
  <pageMargins left="0.7" right="0.7" top="0.75" bottom="0.75" header="0.3" footer="0.3"/>
  <pageSetup paperSize="119" scale="56"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Lookups!$A$2:$A$6</xm:f>
          </x14:formula1>
          <xm:sqref>O3:R134 E3:H134 Z3:AC134 W3:X92</xm:sqref>
        </x14:dataValidation>
        <x14:dataValidation type="list" allowBlank="1" showInputMessage="1" showErrorMessage="1" xr:uid="{00000000-0002-0000-0000-000001000000}">
          <x14:formula1>
            <xm:f>Lookups!$A$9:$A$13</xm:f>
          </x14:formula1>
          <xm:sqref>T3:T134 J3:J134 AE3:AE134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10"/>
  <sheetViews>
    <sheetView topLeftCell="D1" zoomScale="130" zoomScaleNormal="100" workbookViewId="0">
      <selection activeCell="I4" sqref="I4"/>
    </sheetView>
  </sheetViews>
  <sheetFormatPr baseColWidth="10" defaultColWidth="8.6640625" defaultRowHeight="15" x14ac:dyDescent="0.2"/>
  <cols>
    <col min="1" max="1" width="7" customWidth="1"/>
    <col min="2" max="5" width="25.6640625" customWidth="1"/>
    <col min="6" max="7" width="11.33203125" customWidth="1"/>
    <col min="8" max="12" width="21.6640625" customWidth="1"/>
    <col min="14" max="14" width="13.6640625" customWidth="1"/>
  </cols>
  <sheetData>
    <row r="1" spans="1:15" ht="21" x14ac:dyDescent="0.2">
      <c r="F1" s="3"/>
      <c r="G1" s="3"/>
      <c r="H1" s="4" t="s">
        <v>14</v>
      </c>
      <c r="I1" s="130" t="s">
        <v>1</v>
      </c>
      <c r="J1" s="130"/>
      <c r="K1" s="130"/>
      <c r="L1" s="5" t="s">
        <v>14</v>
      </c>
    </row>
    <row r="2" spans="1:15" ht="28" x14ac:dyDescent="0.2">
      <c r="F2" s="6" t="s">
        <v>15</v>
      </c>
      <c r="G2" s="6" t="s">
        <v>15</v>
      </c>
      <c r="H2" s="7" t="s">
        <v>16</v>
      </c>
      <c r="I2" s="7" t="s">
        <v>17</v>
      </c>
      <c r="J2" s="7" t="s">
        <v>18</v>
      </c>
      <c r="K2" s="7" t="s">
        <v>19</v>
      </c>
      <c r="L2" s="7" t="s">
        <v>20</v>
      </c>
    </row>
    <row r="3" spans="1:15" ht="42" x14ac:dyDescent="0.2">
      <c r="F3" s="6" t="s">
        <v>21</v>
      </c>
      <c r="G3" s="6" t="s">
        <v>21</v>
      </c>
      <c r="H3" s="7" t="s">
        <v>53</v>
      </c>
      <c r="I3" s="7" t="s">
        <v>54</v>
      </c>
      <c r="J3" s="7" t="s">
        <v>97</v>
      </c>
      <c r="K3" s="7" t="s">
        <v>55</v>
      </c>
      <c r="L3" s="7" t="s">
        <v>22</v>
      </c>
      <c r="O3" s="8"/>
    </row>
    <row r="4" spans="1:15" ht="16" x14ac:dyDescent="0.2">
      <c r="A4" s="134"/>
      <c r="B4" s="132" t="s">
        <v>6</v>
      </c>
      <c r="C4" s="132" t="s">
        <v>7</v>
      </c>
      <c r="D4" s="132" t="s">
        <v>8</v>
      </c>
      <c r="E4" s="132" t="s">
        <v>23</v>
      </c>
      <c r="F4" s="134"/>
      <c r="G4" s="15"/>
      <c r="H4" s="9" t="s">
        <v>31</v>
      </c>
      <c r="I4" s="9" t="s">
        <v>32</v>
      </c>
      <c r="J4" s="9" t="s">
        <v>33</v>
      </c>
      <c r="K4" s="9" t="s">
        <v>34</v>
      </c>
      <c r="L4" s="9" t="s">
        <v>35</v>
      </c>
    </row>
    <row r="5" spans="1:15" x14ac:dyDescent="0.2">
      <c r="A5" s="135"/>
      <c r="B5" s="133"/>
      <c r="C5" s="133"/>
      <c r="D5" s="133"/>
      <c r="E5" s="133"/>
      <c r="F5" s="135"/>
      <c r="G5" s="16"/>
      <c r="H5" s="9">
        <v>1</v>
      </c>
      <c r="I5" s="9">
        <v>2</v>
      </c>
      <c r="J5" s="9">
        <v>3</v>
      </c>
      <c r="K5" s="9">
        <v>4</v>
      </c>
      <c r="L5" s="9">
        <v>5</v>
      </c>
    </row>
    <row r="6" spans="1:15" ht="90" customHeight="1" x14ac:dyDescent="0.2">
      <c r="A6" s="10"/>
      <c r="B6" s="7" t="s">
        <v>40</v>
      </c>
      <c r="C6" s="7" t="s">
        <v>41</v>
      </c>
      <c r="D6" s="7" t="s">
        <v>42</v>
      </c>
      <c r="E6" s="7" t="s">
        <v>24</v>
      </c>
      <c r="F6" s="3" t="s">
        <v>26</v>
      </c>
      <c r="G6" s="3">
        <v>1</v>
      </c>
      <c r="H6" s="11">
        <v>1</v>
      </c>
      <c r="I6" s="11">
        <v>2</v>
      </c>
      <c r="J6" s="11">
        <v>3</v>
      </c>
      <c r="K6" s="11">
        <v>4</v>
      </c>
      <c r="L6" s="11">
        <v>5</v>
      </c>
    </row>
    <row r="7" spans="1:15" ht="90" customHeight="1" x14ac:dyDescent="0.2">
      <c r="A7" s="131" t="s">
        <v>13</v>
      </c>
      <c r="B7" s="7" t="s">
        <v>43</v>
      </c>
      <c r="C7" s="7" t="s">
        <v>56</v>
      </c>
      <c r="D7" s="7" t="s">
        <v>44</v>
      </c>
      <c r="E7" s="7" t="s">
        <v>25</v>
      </c>
      <c r="F7" s="3" t="s">
        <v>27</v>
      </c>
      <c r="G7" s="3">
        <v>2</v>
      </c>
      <c r="H7" s="11">
        <v>2</v>
      </c>
      <c r="I7" s="11">
        <v>4</v>
      </c>
      <c r="J7" s="11">
        <v>6</v>
      </c>
      <c r="K7" s="12">
        <v>8</v>
      </c>
      <c r="L7" s="12">
        <v>10</v>
      </c>
    </row>
    <row r="8" spans="1:15" ht="90" customHeight="1" x14ac:dyDescent="0.2">
      <c r="A8" s="131"/>
      <c r="B8" s="7" t="s">
        <v>45</v>
      </c>
      <c r="C8" s="7" t="s">
        <v>57</v>
      </c>
      <c r="D8" s="7" t="s">
        <v>46</v>
      </c>
      <c r="E8" s="7" t="s">
        <v>47</v>
      </c>
      <c r="F8" s="3" t="s">
        <v>28</v>
      </c>
      <c r="G8" s="3">
        <v>3</v>
      </c>
      <c r="H8" s="11">
        <v>3</v>
      </c>
      <c r="I8" s="11">
        <v>6</v>
      </c>
      <c r="J8" s="12">
        <v>9</v>
      </c>
      <c r="K8" s="12">
        <v>12</v>
      </c>
      <c r="L8" s="50">
        <v>15</v>
      </c>
    </row>
    <row r="9" spans="1:15" ht="90" customHeight="1" x14ac:dyDescent="0.2">
      <c r="A9" s="131"/>
      <c r="B9" s="7" t="s">
        <v>48</v>
      </c>
      <c r="C9" s="7" t="s">
        <v>59</v>
      </c>
      <c r="D9" s="7" t="s">
        <v>49</v>
      </c>
      <c r="E9" s="7" t="s">
        <v>58</v>
      </c>
      <c r="F9" s="3" t="s">
        <v>29</v>
      </c>
      <c r="G9" s="3">
        <v>4</v>
      </c>
      <c r="H9" s="11">
        <v>4</v>
      </c>
      <c r="I9" s="12">
        <v>8</v>
      </c>
      <c r="J9" s="12">
        <v>12</v>
      </c>
      <c r="K9" s="51">
        <v>16</v>
      </c>
      <c r="L9" s="50">
        <v>20</v>
      </c>
    </row>
    <row r="10" spans="1:15" ht="90" customHeight="1" x14ac:dyDescent="0.2">
      <c r="A10" s="14"/>
      <c r="B10" s="7" t="s">
        <v>50</v>
      </c>
      <c r="C10" s="7" t="s">
        <v>60</v>
      </c>
      <c r="D10" s="7" t="s">
        <v>51</v>
      </c>
      <c r="E10" s="7" t="s">
        <v>52</v>
      </c>
      <c r="F10" s="3" t="s">
        <v>30</v>
      </c>
      <c r="G10" s="3">
        <v>5</v>
      </c>
      <c r="H10" s="11">
        <v>5</v>
      </c>
      <c r="I10" s="12">
        <v>10</v>
      </c>
      <c r="J10" s="51">
        <v>15</v>
      </c>
      <c r="K10" s="51">
        <v>20</v>
      </c>
      <c r="L10" s="13">
        <v>25</v>
      </c>
    </row>
  </sheetData>
  <mergeCells count="8">
    <mergeCell ref="I1:K1"/>
    <mergeCell ref="A7:A9"/>
    <mergeCell ref="B4:B5"/>
    <mergeCell ref="C4:C5"/>
    <mergeCell ref="D4:D5"/>
    <mergeCell ref="E4:E5"/>
    <mergeCell ref="F4:F5"/>
    <mergeCell ref="A4:A5"/>
  </mergeCells>
  <pageMargins left="0.7" right="0.7" top="0.75" bottom="0.75" header="0.3" footer="0.3"/>
  <pageSetup scale="62" orientation="landscape" r:id="rId1"/>
  <headerFooter>
    <oddHeader>&amp;CEXAMPLE RISK MATRIX</oddHeader>
    <oddFooter>&amp;CISA IC33 Exercise #8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7"/>
  <sheetViews>
    <sheetView topLeftCell="A3" zoomScale="160" zoomScaleNormal="160" workbookViewId="0">
      <selection activeCell="B27" sqref="B27"/>
    </sheetView>
  </sheetViews>
  <sheetFormatPr baseColWidth="10" defaultColWidth="8.6640625" defaultRowHeight="15" x14ac:dyDescent="0.2"/>
  <cols>
    <col min="1" max="3" width="9" style="1"/>
  </cols>
  <sheetData>
    <row r="1" spans="1:3" x14ac:dyDescent="0.2">
      <c r="A1" s="136" t="s">
        <v>98</v>
      </c>
      <c r="B1" s="136"/>
      <c r="C1"/>
    </row>
    <row r="2" spans="1:3" x14ac:dyDescent="0.2">
      <c r="A2" s="17" t="s">
        <v>36</v>
      </c>
      <c r="B2" s="17" t="s">
        <v>37</v>
      </c>
      <c r="C2"/>
    </row>
    <row r="3" spans="1:3" x14ac:dyDescent="0.2">
      <c r="A3" s="2">
        <v>1</v>
      </c>
      <c r="B3" s="30">
        <v>1</v>
      </c>
      <c r="C3"/>
    </row>
    <row r="4" spans="1:3" x14ac:dyDescent="0.2">
      <c r="A4" s="2">
        <v>2</v>
      </c>
      <c r="B4" s="30">
        <v>1</v>
      </c>
      <c r="C4"/>
    </row>
    <row r="5" spans="1:3" x14ac:dyDescent="0.2">
      <c r="A5" s="2">
        <v>3</v>
      </c>
      <c r="B5" s="30">
        <v>1</v>
      </c>
      <c r="C5"/>
    </row>
    <row r="6" spans="1:3" x14ac:dyDescent="0.2">
      <c r="A6" s="2">
        <v>4</v>
      </c>
      <c r="B6" s="30">
        <v>1</v>
      </c>
      <c r="C6"/>
    </row>
    <row r="7" spans="1:3" x14ac:dyDescent="0.2">
      <c r="A7" s="2">
        <v>5</v>
      </c>
      <c r="B7" s="30">
        <v>1</v>
      </c>
      <c r="C7"/>
    </row>
    <row r="8" spans="1:3" x14ac:dyDescent="0.2">
      <c r="A8" s="2">
        <v>6</v>
      </c>
      <c r="B8" s="30">
        <v>1</v>
      </c>
      <c r="C8"/>
    </row>
    <row r="9" spans="1:3" x14ac:dyDescent="0.2">
      <c r="A9" s="2">
        <v>7</v>
      </c>
      <c r="B9" s="29">
        <v>1</v>
      </c>
      <c r="C9"/>
    </row>
    <row r="10" spans="1:3" x14ac:dyDescent="0.2">
      <c r="A10" s="2">
        <v>8</v>
      </c>
      <c r="B10" s="29">
        <v>1</v>
      </c>
      <c r="C10"/>
    </row>
    <row r="11" spans="1:3" x14ac:dyDescent="0.2">
      <c r="A11" s="2">
        <v>9</v>
      </c>
      <c r="B11" s="29">
        <v>1</v>
      </c>
      <c r="C11"/>
    </row>
    <row r="12" spans="1:3" x14ac:dyDescent="0.2">
      <c r="A12" s="2">
        <v>10</v>
      </c>
      <c r="B12" s="29">
        <v>1</v>
      </c>
      <c r="C12"/>
    </row>
    <row r="13" spans="1:3" x14ac:dyDescent="0.2">
      <c r="A13" s="2">
        <v>11</v>
      </c>
      <c r="B13" s="29">
        <v>1</v>
      </c>
      <c r="C13"/>
    </row>
    <row r="14" spans="1:3" x14ac:dyDescent="0.2">
      <c r="A14" s="2">
        <v>12</v>
      </c>
      <c r="B14" s="29">
        <v>1</v>
      </c>
      <c r="C14"/>
    </row>
    <row r="15" spans="1:3" x14ac:dyDescent="0.2">
      <c r="A15" s="2">
        <v>13</v>
      </c>
      <c r="B15" s="28">
        <v>2</v>
      </c>
      <c r="C15"/>
    </row>
    <row r="16" spans="1:3" x14ac:dyDescent="0.2">
      <c r="A16" s="2">
        <v>14</v>
      </c>
      <c r="B16" s="28">
        <v>2</v>
      </c>
      <c r="C16"/>
    </row>
    <row r="17" spans="1:3" x14ac:dyDescent="0.2">
      <c r="A17" s="2">
        <v>15</v>
      </c>
      <c r="B17" s="28">
        <v>2</v>
      </c>
      <c r="C17"/>
    </row>
    <row r="18" spans="1:3" x14ac:dyDescent="0.2">
      <c r="A18" s="2">
        <v>16</v>
      </c>
      <c r="B18" s="28">
        <v>2</v>
      </c>
      <c r="C18"/>
    </row>
    <row r="19" spans="1:3" x14ac:dyDescent="0.2">
      <c r="A19" s="2">
        <v>17</v>
      </c>
      <c r="B19" s="28">
        <v>2</v>
      </c>
      <c r="C19"/>
    </row>
    <row r="20" spans="1:3" x14ac:dyDescent="0.2">
      <c r="A20" s="2">
        <v>18</v>
      </c>
      <c r="B20" s="28">
        <v>2</v>
      </c>
      <c r="C20"/>
    </row>
    <row r="21" spans="1:3" x14ac:dyDescent="0.2">
      <c r="A21" s="2">
        <v>19</v>
      </c>
      <c r="B21" s="28">
        <v>2</v>
      </c>
      <c r="C21"/>
    </row>
    <row r="22" spans="1:3" x14ac:dyDescent="0.2">
      <c r="A22" s="2">
        <v>20</v>
      </c>
      <c r="B22" s="28">
        <v>2</v>
      </c>
      <c r="C22"/>
    </row>
    <row r="23" spans="1:3" x14ac:dyDescent="0.2">
      <c r="A23" s="2">
        <v>21</v>
      </c>
      <c r="B23" s="28">
        <v>2</v>
      </c>
      <c r="C23"/>
    </row>
    <row r="24" spans="1:3" x14ac:dyDescent="0.2">
      <c r="A24" s="2">
        <v>22</v>
      </c>
      <c r="B24" s="28">
        <v>2</v>
      </c>
      <c r="C24"/>
    </row>
    <row r="25" spans="1:3" x14ac:dyDescent="0.2">
      <c r="A25" s="2">
        <v>23</v>
      </c>
      <c r="B25" s="28">
        <v>2</v>
      </c>
      <c r="C25"/>
    </row>
    <row r="26" spans="1:3" x14ac:dyDescent="0.2">
      <c r="A26" s="2">
        <v>24</v>
      </c>
      <c r="B26" s="28">
        <v>2</v>
      </c>
      <c r="C26">
        <v>3</v>
      </c>
    </row>
    <row r="27" spans="1:3" x14ac:dyDescent="0.2">
      <c r="A27" s="2">
        <v>25</v>
      </c>
      <c r="B27" s="54">
        <v>2</v>
      </c>
      <c r="C27"/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FEBC6-52B7-4F65-A2D9-9B8625494BA4}">
  <dimension ref="B2:M15"/>
  <sheetViews>
    <sheetView zoomScale="175" zoomScaleNormal="175" zoomScaleSheetLayoutView="100" workbookViewId="0">
      <selection activeCell="F15" sqref="F15"/>
    </sheetView>
  </sheetViews>
  <sheetFormatPr baseColWidth="10" defaultColWidth="8.6640625" defaultRowHeight="15" x14ac:dyDescent="0.2"/>
  <cols>
    <col min="1" max="1" width="5.6640625" customWidth="1"/>
    <col min="2" max="2" width="29" bestFit="1" customWidth="1"/>
    <col min="3" max="3" width="5.6640625" style="1" customWidth="1"/>
    <col min="4" max="4" width="15.6640625" customWidth="1"/>
    <col min="5" max="5" width="5.6640625" customWidth="1"/>
    <col min="6" max="6" width="5.6640625" style="1" customWidth="1"/>
    <col min="7" max="7" width="15.6640625" customWidth="1"/>
    <col min="8" max="8" width="5.6640625" customWidth="1"/>
    <col min="9" max="9" width="5.6640625" style="1" customWidth="1"/>
    <col min="10" max="10" width="15.6640625" customWidth="1"/>
    <col min="11" max="11" width="5.6640625" customWidth="1"/>
    <col min="12" max="12" width="6.6640625" style="1" bestFit="1" customWidth="1"/>
    <col min="13" max="13" width="6.6640625" style="1" customWidth="1"/>
  </cols>
  <sheetData>
    <row r="2" spans="2:13" x14ac:dyDescent="0.2">
      <c r="B2" s="31" t="s">
        <v>61</v>
      </c>
      <c r="C2" s="138" t="s">
        <v>90</v>
      </c>
      <c r="D2" s="139"/>
      <c r="E2" s="140"/>
      <c r="F2" s="138" t="s">
        <v>91</v>
      </c>
      <c r="G2" s="139"/>
      <c r="H2" s="140"/>
      <c r="I2" s="138" t="s">
        <v>92</v>
      </c>
      <c r="J2" s="139"/>
      <c r="K2" s="140"/>
      <c r="L2" s="45" t="s">
        <v>93</v>
      </c>
      <c r="M2" s="45"/>
    </row>
    <row r="3" spans="2:13" x14ac:dyDescent="0.2">
      <c r="B3" s="33" t="s">
        <v>62</v>
      </c>
      <c r="C3" s="39"/>
      <c r="D3" s="32" t="s">
        <v>63</v>
      </c>
      <c r="E3" s="34">
        <v>1</v>
      </c>
      <c r="F3" s="40" t="s">
        <v>142</v>
      </c>
      <c r="G3" s="37" t="s">
        <v>64</v>
      </c>
      <c r="H3" s="37">
        <v>3</v>
      </c>
      <c r="I3" s="41"/>
      <c r="J3" s="42"/>
      <c r="K3" s="42"/>
      <c r="L3" s="2">
        <f t="shared" ref="L3:L12" si="0">IF(ISBLANK(C3),0,E3)+IF(ISBLANK(F3),0,H3)+IF(ISBLANK(I3),0,K3)</f>
        <v>3</v>
      </c>
      <c r="M3" s="2">
        <f t="shared" ref="M3:M12" si="1">IF(ISBLANK(C3),0,1)+IF(ISBLANK(F3),0,1)+IF(ISBLANK(I3),0,1)</f>
        <v>1</v>
      </c>
    </row>
    <row r="4" spans="2:13" x14ac:dyDescent="0.2">
      <c r="B4" s="33" t="s">
        <v>65</v>
      </c>
      <c r="C4" s="39"/>
      <c r="D4" s="32" t="s">
        <v>66</v>
      </c>
      <c r="E4" s="34">
        <v>1</v>
      </c>
      <c r="F4" s="40"/>
      <c r="G4" s="37" t="s">
        <v>67</v>
      </c>
      <c r="H4" s="37">
        <v>4</v>
      </c>
      <c r="I4" s="41" t="s">
        <v>142</v>
      </c>
      <c r="J4" s="42" t="s">
        <v>68</v>
      </c>
      <c r="K4" s="42">
        <v>6</v>
      </c>
      <c r="L4" s="2">
        <f t="shared" si="0"/>
        <v>6</v>
      </c>
      <c r="M4" s="2">
        <f t="shared" si="1"/>
        <v>1</v>
      </c>
    </row>
    <row r="5" spans="2:13" x14ac:dyDescent="0.2">
      <c r="B5" s="33" t="s">
        <v>69</v>
      </c>
      <c r="C5" s="39"/>
      <c r="D5" s="32" t="s">
        <v>66</v>
      </c>
      <c r="E5" s="34">
        <v>1</v>
      </c>
      <c r="F5" s="40" t="s">
        <v>142</v>
      </c>
      <c r="G5" s="37" t="s">
        <v>70</v>
      </c>
      <c r="H5" s="37">
        <v>2</v>
      </c>
      <c r="I5" s="41"/>
      <c r="J5" s="42" t="s">
        <v>71</v>
      </c>
      <c r="K5" s="42">
        <v>3</v>
      </c>
      <c r="L5" s="2">
        <f t="shared" si="0"/>
        <v>2</v>
      </c>
      <c r="M5" s="2">
        <f t="shared" si="1"/>
        <v>1</v>
      </c>
    </row>
    <row r="6" spans="2:13" x14ac:dyDescent="0.2">
      <c r="B6" s="33" t="s">
        <v>72</v>
      </c>
      <c r="C6" s="39"/>
      <c r="D6" s="32" t="s">
        <v>73</v>
      </c>
      <c r="E6" s="34">
        <v>1</v>
      </c>
      <c r="F6" s="40"/>
      <c r="G6" s="37" t="s">
        <v>74</v>
      </c>
      <c r="H6" s="37">
        <v>4</v>
      </c>
      <c r="I6" s="41" t="s">
        <v>142</v>
      </c>
      <c r="J6" s="42" t="s">
        <v>94</v>
      </c>
      <c r="K6" s="42">
        <v>6</v>
      </c>
      <c r="L6" s="2">
        <f t="shared" si="0"/>
        <v>6</v>
      </c>
      <c r="M6" s="2">
        <f t="shared" si="1"/>
        <v>1</v>
      </c>
    </row>
    <row r="7" spans="2:13" x14ac:dyDescent="0.2">
      <c r="B7" s="33" t="s">
        <v>75</v>
      </c>
      <c r="C7" s="39" t="s">
        <v>142</v>
      </c>
      <c r="D7" s="32" t="s">
        <v>76</v>
      </c>
      <c r="E7" s="34">
        <v>1</v>
      </c>
      <c r="F7" s="40"/>
      <c r="G7" s="37" t="s">
        <v>77</v>
      </c>
      <c r="H7" s="37">
        <v>2</v>
      </c>
      <c r="I7" s="41"/>
      <c r="J7" s="42" t="s">
        <v>66</v>
      </c>
      <c r="K7" s="42">
        <v>4</v>
      </c>
      <c r="L7" s="2">
        <f t="shared" si="0"/>
        <v>1</v>
      </c>
      <c r="M7" s="2">
        <f t="shared" si="1"/>
        <v>1</v>
      </c>
    </row>
    <row r="8" spans="2:13" x14ac:dyDescent="0.2">
      <c r="B8" s="33" t="s">
        <v>78</v>
      </c>
      <c r="C8" s="39"/>
      <c r="D8" s="32" t="s">
        <v>79</v>
      </c>
      <c r="E8" s="34">
        <v>1</v>
      </c>
      <c r="F8" s="40"/>
      <c r="G8" s="37" t="s">
        <v>80</v>
      </c>
      <c r="H8" s="37">
        <v>2</v>
      </c>
      <c r="I8" s="41" t="s">
        <v>142</v>
      </c>
      <c r="J8" s="42" t="s">
        <v>81</v>
      </c>
      <c r="K8" s="42">
        <v>3</v>
      </c>
      <c r="L8" s="2">
        <f t="shared" si="0"/>
        <v>3</v>
      </c>
      <c r="M8" s="2">
        <f t="shared" si="1"/>
        <v>1</v>
      </c>
    </row>
    <row r="9" spans="2:13" x14ac:dyDescent="0.2">
      <c r="B9" s="33" t="s">
        <v>82</v>
      </c>
      <c r="C9" s="39"/>
      <c r="D9" s="32" t="s">
        <v>79</v>
      </c>
      <c r="E9" s="34">
        <v>1</v>
      </c>
      <c r="F9" s="40" t="s">
        <v>142</v>
      </c>
      <c r="G9" s="37" t="s">
        <v>81</v>
      </c>
      <c r="H9" s="37">
        <v>3</v>
      </c>
      <c r="I9" s="41"/>
      <c r="J9" s="42" t="s">
        <v>66</v>
      </c>
      <c r="K9" s="42">
        <v>4</v>
      </c>
      <c r="L9" s="2">
        <f t="shared" si="0"/>
        <v>3</v>
      </c>
      <c r="M9" s="2">
        <f t="shared" si="1"/>
        <v>1</v>
      </c>
    </row>
    <row r="10" spans="2:13" x14ac:dyDescent="0.2">
      <c r="B10" s="33" t="s">
        <v>83</v>
      </c>
      <c r="C10" s="39" t="s">
        <v>142</v>
      </c>
      <c r="D10" s="32" t="s">
        <v>68</v>
      </c>
      <c r="E10" s="34">
        <v>1</v>
      </c>
      <c r="F10" s="40"/>
      <c r="G10" s="37" t="s">
        <v>84</v>
      </c>
      <c r="H10" s="37">
        <v>2</v>
      </c>
      <c r="I10" s="41"/>
      <c r="J10" s="43" t="s">
        <v>85</v>
      </c>
      <c r="K10" s="43">
        <v>3</v>
      </c>
      <c r="L10" s="2">
        <f t="shared" si="0"/>
        <v>1</v>
      </c>
      <c r="M10" s="2">
        <f t="shared" si="1"/>
        <v>1</v>
      </c>
    </row>
    <row r="11" spans="2:13" x14ac:dyDescent="0.2">
      <c r="B11" s="33" t="s">
        <v>86</v>
      </c>
      <c r="C11" s="39"/>
      <c r="D11" s="32" t="s">
        <v>66</v>
      </c>
      <c r="E11" s="34">
        <v>1</v>
      </c>
      <c r="F11" s="40" t="s">
        <v>142</v>
      </c>
      <c r="G11" s="37" t="s">
        <v>68</v>
      </c>
      <c r="H11" s="37">
        <v>3</v>
      </c>
      <c r="I11" s="41"/>
      <c r="J11" s="44"/>
      <c r="K11" s="44"/>
      <c r="L11" s="2">
        <f t="shared" si="0"/>
        <v>3</v>
      </c>
      <c r="M11" s="2">
        <f t="shared" si="1"/>
        <v>1</v>
      </c>
    </row>
    <row r="12" spans="2:13" x14ac:dyDescent="0.2">
      <c r="B12" s="33" t="s">
        <v>87</v>
      </c>
      <c r="C12" s="39"/>
      <c r="D12" s="35" t="s">
        <v>88</v>
      </c>
      <c r="E12" s="36">
        <v>1</v>
      </c>
      <c r="F12" s="40"/>
      <c r="G12" s="38" t="s">
        <v>89</v>
      </c>
      <c r="H12" s="38">
        <v>2</v>
      </c>
      <c r="I12" s="41" t="s">
        <v>142</v>
      </c>
      <c r="J12" s="43" t="s">
        <v>66</v>
      </c>
      <c r="K12" s="43">
        <v>3</v>
      </c>
      <c r="L12" s="2">
        <f t="shared" si="0"/>
        <v>3</v>
      </c>
      <c r="M12" s="2">
        <f t="shared" si="1"/>
        <v>1</v>
      </c>
    </row>
    <row r="13" spans="2:13" ht="35" thickBot="1" x14ac:dyDescent="0.45">
      <c r="L13" s="46">
        <f>SUM(L3:L12)</f>
        <v>31</v>
      </c>
    </row>
    <row r="14" spans="2:13" ht="57" customHeight="1" thickBot="1" x14ac:dyDescent="0.25">
      <c r="B14" s="141" t="s">
        <v>95</v>
      </c>
      <c r="C14" s="142"/>
      <c r="D14" s="142"/>
      <c r="E14" s="143"/>
      <c r="I14" s="47">
        <f>IF(L13&lt;17,2,IF(L13&lt;24,3,IF(L13&lt;331,4,5)))</f>
        <v>4</v>
      </c>
      <c r="J14" s="144" t="str">
        <f>IF(L13&lt;17,"Rare",IF(L13&lt;24,"Unlikely",IF(L13&lt;31,"Possible","Likely")))</f>
        <v>Likely</v>
      </c>
      <c r="K14" s="144"/>
      <c r="L14" s="145"/>
    </row>
    <row r="15" spans="2:13" ht="55.5" customHeight="1" x14ac:dyDescent="0.2">
      <c r="I15" s="137" t="s">
        <v>96</v>
      </c>
      <c r="J15" s="137"/>
      <c r="K15" s="137"/>
      <c r="L15" s="137"/>
    </row>
  </sheetData>
  <mergeCells count="6">
    <mergeCell ref="I15:L15"/>
    <mergeCell ref="C2:E2"/>
    <mergeCell ref="F2:H2"/>
    <mergeCell ref="I2:K2"/>
    <mergeCell ref="B14:E14"/>
    <mergeCell ref="J14:L14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A9056EFA-F6DD-4A4E-AA25-6AA09FBD61A5}">
            <x14:iconSet iconSet="3Symbol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3Symbols" iconId="0"/>
              <x14:cfIcon iconSet="3Symbols" iconId="2"/>
              <x14:cfIcon iconSet="3Symbols" iconId="0"/>
            </x14:iconSet>
          </x14:cfRule>
          <xm:sqref>M3:M12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>
      <selection activeCell="G18" sqref="G18"/>
    </sheetView>
  </sheetViews>
  <sheetFormatPr baseColWidth="10" defaultColWidth="8.6640625" defaultRowHeight="15" x14ac:dyDescent="0.2"/>
  <sheetData>
    <row r="1" spans="1:4" x14ac:dyDescent="0.2">
      <c r="A1" s="1" t="s">
        <v>13</v>
      </c>
      <c r="C1" s="1"/>
      <c r="D1" s="1"/>
    </row>
    <row r="2" spans="1:4" x14ac:dyDescent="0.2">
      <c r="A2">
        <v>1</v>
      </c>
    </row>
    <row r="3" spans="1:4" x14ac:dyDescent="0.2">
      <c r="A3">
        <v>2</v>
      </c>
    </row>
    <row r="4" spans="1:4" x14ac:dyDescent="0.2">
      <c r="A4">
        <v>3</v>
      </c>
    </row>
    <row r="5" spans="1:4" x14ac:dyDescent="0.2">
      <c r="A5">
        <v>4</v>
      </c>
    </row>
    <row r="6" spans="1:4" x14ac:dyDescent="0.2">
      <c r="A6">
        <v>5</v>
      </c>
    </row>
    <row r="8" spans="1:4" x14ac:dyDescent="0.2">
      <c r="A8" t="s">
        <v>1</v>
      </c>
    </row>
    <row r="9" spans="1:4" x14ac:dyDescent="0.2">
      <c r="A9">
        <v>1</v>
      </c>
    </row>
    <row r="10" spans="1:4" x14ac:dyDescent="0.2">
      <c r="A10">
        <v>2</v>
      </c>
    </row>
    <row r="11" spans="1:4" x14ac:dyDescent="0.2">
      <c r="A11">
        <v>3</v>
      </c>
    </row>
    <row r="12" spans="1:4" x14ac:dyDescent="0.2">
      <c r="A12">
        <v>4</v>
      </c>
    </row>
    <row r="13" spans="1:4" x14ac:dyDescent="0.2">
      <c r="A13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cf706b-6564-489e-86ba-d4ae1c6fc49a" xsi:nil="true"/>
    <lcf76f155ced4ddcb4097134ff3c332f xmlns="218f2605-fe98-4748-b967-efbeb38c8cb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942DF10DB19445B93F1A1A3FAA688A" ma:contentTypeVersion="12" ma:contentTypeDescription="Create a new document." ma:contentTypeScope="" ma:versionID="7942df6105dc366a9f2d4147a3276d48">
  <xsd:schema xmlns:xsd="http://www.w3.org/2001/XMLSchema" xmlns:xs="http://www.w3.org/2001/XMLSchema" xmlns:p="http://schemas.microsoft.com/office/2006/metadata/properties" xmlns:ns2="218f2605-fe98-4748-b967-efbeb38c8cb8" xmlns:ns3="9ecf706b-6564-489e-86ba-d4ae1c6fc49a" targetNamespace="http://schemas.microsoft.com/office/2006/metadata/properties" ma:root="true" ma:fieldsID="59772b2be35d782767e13722d4455e00" ns2:_="" ns3:_="">
    <xsd:import namespace="218f2605-fe98-4748-b967-efbeb38c8cb8"/>
    <xsd:import namespace="9ecf706b-6564-489e-86ba-d4ae1c6fc4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8f2605-fe98-4748-b967-efbeb38c8c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94512388-1576-4d2a-95d3-1fa8d2d32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cf706b-6564-489e-86ba-d4ae1c6fc49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6cba365-3a05-4414-b325-fb3294ece0df}" ma:internalName="TaxCatchAll" ma:showField="CatchAllData" ma:web="9ecf706b-6564-489e-86ba-d4ae1c6fc4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BAFFF8D-C1BF-4F03-A449-D2FC7404C50E}">
  <ds:schemaRefs>
    <ds:schemaRef ds:uri="44d9f6b2-e0c9-4ac9-9706-3d2824283d84"/>
    <ds:schemaRef ds:uri="ffead200-ab72-4e76-a53f-ba192216ca2f"/>
    <ds:schemaRef ds:uri="http://schemas.microsoft.com/office/2006/documentManagement/types"/>
    <ds:schemaRef ds:uri="http://purl.org/dc/elements/1.1/"/>
    <ds:schemaRef ds:uri="http://purl.org/dc/terms/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AA7D278-5D15-4BE2-A29D-5FCC6948467A}"/>
</file>

<file path=customXml/itemProps3.xml><?xml version="1.0" encoding="utf-8"?>
<ds:datastoreItem xmlns:ds="http://schemas.openxmlformats.org/officeDocument/2006/customXml" ds:itemID="{B0BFA8F7-CF9B-49AB-84F7-ED94AA1219C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Werkbladen</vt:lpstr>
      </vt:variant>
      <vt:variant>
        <vt:i4>5</vt:i4>
      </vt:variant>
      <vt:variant>
        <vt:lpstr>Benoemde bereiken</vt:lpstr>
      </vt:variant>
      <vt:variant>
        <vt:i4>4</vt:i4>
      </vt:variant>
    </vt:vector>
  </HeadingPairs>
  <TitlesOfParts>
    <vt:vector size="9" baseType="lpstr">
      <vt:lpstr>Base Production</vt:lpstr>
      <vt:lpstr>Risk Matrix</vt:lpstr>
      <vt:lpstr>SL-T</vt:lpstr>
      <vt:lpstr>Likelihood Classification</vt:lpstr>
      <vt:lpstr>Lookups</vt:lpstr>
      <vt:lpstr>'Base Production'!Afdrukbereik</vt:lpstr>
      <vt:lpstr>'Risk Matrix'!Afdrukbereik</vt:lpstr>
      <vt:lpstr>RiskMatrix</vt:lpstr>
      <vt:lpstr>SLTS</vt:lpstr>
    </vt:vector>
  </TitlesOfParts>
  <Company>aeSolutions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Cusimano</dc:creator>
  <cp:lastModifiedBy>John Verhoof | ISA</cp:lastModifiedBy>
  <cp:lastPrinted>2015-10-29T15:37:24Z</cp:lastPrinted>
  <dcterms:created xsi:type="dcterms:W3CDTF">2014-09-03T18:56:09Z</dcterms:created>
  <dcterms:modified xsi:type="dcterms:W3CDTF">2026-06-19T14:36:00Z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0x010100F0942DF10DB19445B93F1A1A3FAA688A</vt:lpwstr>
  </property>
</Properties>
</file>